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ThisWorkbook" hidePivotFieldList="1"/>
  <xr:revisionPtr revIDLastSave="0" documentId="13_ncr:1_{1CC6540F-5C88-4A02-A359-966ACE8F0B9E}" xr6:coauthVersionLast="47" xr6:coauthVersionMax="47" xr10:uidLastSave="{00000000-0000-0000-0000-000000000000}"/>
  <bookViews>
    <workbookView xWindow="-108" yWindow="-108" windowWidth="23256" windowHeight="13176" tabRatio="889" xr2:uid="{00000000-000D-0000-FFFF-FFFF00000000}"/>
  </bookViews>
  <sheets>
    <sheet name="Dashboard" sheetId="3" r:id="rId1"/>
    <sheet name="List1" sheetId="4" r:id="rId2"/>
    <sheet name="List2" sheetId="10" r:id="rId3"/>
    <sheet name="PivotTables" sheetId="1" r:id="rId4"/>
    <sheet name="AllServiceberichte" sheetId="14" r:id="rId5"/>
    <sheet name="AllServiceauftraege" sheetId="15" r:id="rId6"/>
  </sheets>
  <definedNames>
    <definedName name="ExternalData_3" localSheetId="4" hidden="1">AllServiceberichte!$A$1:$Y$570</definedName>
    <definedName name="ExterneDaten_1" localSheetId="5" hidden="1">AllServiceauftraege!$A$1:$AT$29</definedName>
    <definedName name="_xlnm.Print_Area" localSheetId="1">List1!$A$1:$J$153</definedName>
    <definedName name="_xlnm.Print_Titles" localSheetId="0">Dashboard!$1:$3</definedName>
    <definedName name="_xlnm.Print_Titles" localSheetId="1">List1!$1:$7</definedName>
    <definedName name="_xlnm.Print_Titles" localSheetId="2">List2!$1:$4</definedName>
  </definedNames>
  <calcPr calcId="191029"/>
  <pivotCaches>
    <pivotCache cacheId="108" r:id="rId7"/>
    <pivotCache cacheId="116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0" l="1"/>
  <c r="B1" i="4"/>
  <c r="B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8858B7C-C3DF-4B0F-A98A-EC53A781ED39}" keepAlive="1" name="Abfrage - AllServiceauftraege" description="Verbindung mit der Abfrage 'AllServiceauftraege' in der Arbeitsmappe." type="5" refreshedVersion="8" background="1" saveData="1">
    <dbPr connection="Provider=Microsoft.Mashup.OleDb.1;Data Source=$Workbook$;Location=AllServiceauftraege;Extended Properties=&quot;&quot;" command="SELECT * FROM [AllServiceauftraege]"/>
  </connection>
  <connection id="2" xr16:uid="{1F661F50-1E2E-484E-BFCF-53FD5C4B8461}" keepAlive="1" name="Query - AllServiceberichte" description="Connection to the 'AllServiceberichte' query in the workbook." type="5" refreshedVersion="8" background="1" saveData="1">
    <dbPr connection="Provider=Microsoft.Mashup.OleDb.1;Data Source=$Workbook$;Location=AllServiceberichte;Extended Properties=&quot;&quot;" command="SELECT * FROM [AllServiceberichte]"/>
  </connection>
  <connection id="3" xr16:uid="{F6E82D15-511A-4A3E-BE5D-DAEF37BD0386}" keepAlive="1" name="Query - ArchivServiceberichte" description="Connection to the 'ArchivServiceberichte' query in the workbook." type="5" refreshedVersion="8" background="1" saveData="1">
    <dbPr connection="Provider=Microsoft.Mashup.OleDb.1;Data Source=$Workbook$;Location=ArchivServiceberichte;Extended Properties=&quot;&quot;" command="SELECT * FROM [ArchivServiceberichte]"/>
  </connection>
  <connection id="4" xr16:uid="{779E1F32-AB06-43A8-BB5B-9E6C7D3BC1E9}" keepAlive="1" name="Query - Serviceauftraege" description="Connection to the 'Serviceauftraege' query in the workbook." type="5" refreshedVersion="8" saveData="1">
    <dbPr connection="Provider=Microsoft.Mashup.OleDb.1;Data Source=$Workbook$;Location=Serviceauftraege;Extended Properties=&quot;&quot;" command="SELECT * FROM [Serviceauftraege]"/>
  </connection>
  <connection id="5" xr16:uid="{0580A842-7DF4-43BF-94B6-724363F40FD5}" keepAlive="1" name="Query - Serviceberichte" description="Connection to the 'Serviceberichte' query in the workbook." type="5" refreshedVersion="8" saveData="1">
    <dbPr connection="Provider=Microsoft.Mashup.OleDb.1;Data Source=$Workbook$;Location=Serviceberichte;Extended Properties=&quot;&quot;" command="SELECT * FROM [Serviceberichte]"/>
  </connection>
</connections>
</file>

<file path=xl/sharedStrings.xml><?xml version="1.0" encoding="utf-8"?>
<sst xmlns="http://schemas.openxmlformats.org/spreadsheetml/2006/main" count="7334" uniqueCount="1128">
  <si>
    <t>Pruefer</t>
  </si>
  <si>
    <t>Pruefmonat</t>
  </si>
  <si>
    <t>Pruefjahr</t>
  </si>
  <si>
    <t>Pruefdatum</t>
  </si>
  <si>
    <t>Kunden-Nr</t>
  </si>
  <si>
    <t>Kunde</t>
  </si>
  <si>
    <t>MA INV-Nr</t>
  </si>
  <si>
    <t>Hersteller</t>
  </si>
  <si>
    <t>Geraeteart</t>
  </si>
  <si>
    <t>Plakette erteilt</t>
  </si>
  <si>
    <t>Genehmigt</t>
  </si>
  <si>
    <t xml:space="preserve"> </t>
  </si>
  <si>
    <t>BMW</t>
  </si>
  <si>
    <t>Z001</t>
  </si>
  <si>
    <t>Z01</t>
  </si>
  <si>
    <t>Geräteart</t>
  </si>
  <si>
    <t>Gesendet</t>
  </si>
  <si>
    <t>Volker</t>
  </si>
  <si>
    <t>Inventarart</t>
  </si>
  <si>
    <t/>
  </si>
  <si>
    <t>[List]</t>
  </si>
  <si>
    <t>1.0</t>
  </si>
  <si>
    <t>Ort</t>
  </si>
  <si>
    <t>Anfangszeit</t>
  </si>
  <si>
    <t>Endzeit</t>
  </si>
  <si>
    <t>INVNR</t>
  </si>
  <si>
    <t>SharedCalendarId</t>
  </si>
  <si>
    <t>PrueferName</t>
  </si>
  <si>
    <t>Pruefungshistorie</t>
  </si>
  <si>
    <t>HISTORIEDE</t>
  </si>
  <si>
    <t>HISTORIEEN</t>
  </si>
  <si>
    <t>Demo</t>
  </si>
  <si>
    <t>1</t>
  </si>
  <si>
    <t>2</t>
  </si>
  <si>
    <t>UVV-Pruefung-Demo</t>
  </si>
  <si>
    <t>PruefdatenGefunden</t>
  </si>
  <si>
    <t>PruefberichtGenehmigt</t>
  </si>
  <si>
    <t>PruefberichtGefunden</t>
  </si>
  <si>
    <t>Beschreibung</t>
  </si>
  <si>
    <t>FileSystemObjectType</t>
  </si>
  <si>
    <t>Id</t>
  </si>
  <si>
    <t>ServerRedirectedEmbedUri</t>
  </si>
  <si>
    <t>ServerRedirectedEmbedUrl</t>
  </si>
  <si>
    <t>Title</t>
  </si>
  <si>
    <t>KEY</t>
  </si>
  <si>
    <t>ContentTypeId</t>
  </si>
  <si>
    <t>Modified</t>
  </si>
  <si>
    <t>Created</t>
  </si>
  <si>
    <t>AuthorId</t>
  </si>
  <si>
    <t>EditorId</t>
  </si>
  <si>
    <t>OData__UIVersionString</t>
  </si>
  <si>
    <t>Attachments</t>
  </si>
  <si>
    <t>GUID</t>
  </si>
  <si>
    <t>ComplianceAssetId</t>
  </si>
  <si>
    <t>ID2</t>
  </si>
  <si>
    <t>TeilnehmerId</t>
  </si>
  <si>
    <t>TeilnehmerStringId</t>
  </si>
  <si>
    <t>PrueferId</t>
  </si>
  <si>
    <t>PrueferStringId</t>
  </si>
  <si>
    <t>OData__ColorTag</t>
  </si>
  <si>
    <t>Gerät1</t>
  </si>
  <si>
    <t>Serviceart</t>
  </si>
  <si>
    <t>Reminder</t>
  </si>
  <si>
    <t>GPSLocation</t>
  </si>
  <si>
    <t>KDNR</t>
  </si>
  <si>
    <t>FlagGroup</t>
  </si>
  <si>
    <t>GeraetetypCode</t>
  </si>
  <si>
    <t>AbweichendeLieferanschrift</t>
  </si>
  <si>
    <t>KDAUFNR</t>
  </si>
  <si>
    <t>KDAUFDATUM</t>
  </si>
  <si>
    <t>KDAUFKONTAKT</t>
  </si>
  <si>
    <t>UVV-Pruefung</t>
  </si>
  <si>
    <t>Demogeraete</t>
  </si>
  <si>
    <t>Erinnerung/Reminder</t>
  </si>
  <si>
    <t>Geraetetyp</t>
  </si>
  <si>
    <t>Maengelklasse</t>
  </si>
  <si>
    <t>MaengelklasseText</t>
  </si>
  <si>
    <t>STK-Wartung</t>
  </si>
  <si>
    <t>4</t>
  </si>
  <si>
    <t>3</t>
  </si>
  <si>
    <t>Demo1 GmbH</t>
  </si>
  <si>
    <t>Titel / Ort</t>
  </si>
  <si>
    <t>33422</t>
  </si>
  <si>
    <t>UVV-Pruefung-Flurfoerderzeuge</t>
  </si>
  <si>
    <t>33471</t>
  </si>
  <si>
    <t>100 629</t>
  </si>
  <si>
    <t>JH ETV Q 25</t>
  </si>
  <si>
    <t>JH</t>
  </si>
  <si>
    <t>221012 1355</t>
  </si>
  <si>
    <t>33475</t>
  </si>
  <si>
    <t>103 022</t>
  </si>
  <si>
    <t>RAVAS Sovar 2100 Wiegehubwagen</t>
  </si>
  <si>
    <t>Ravas</t>
  </si>
  <si>
    <t>90 450</t>
  </si>
  <si>
    <t>JH EJE 16</t>
  </si>
  <si>
    <t>90 565</t>
  </si>
  <si>
    <t>Deichselstapler HY H 1000</t>
  </si>
  <si>
    <t>Hyster</t>
  </si>
  <si>
    <t>10</t>
  </si>
  <si>
    <t>Kunde Z01</t>
  </si>
  <si>
    <t>Z01-02</t>
  </si>
  <si>
    <t>UVV-Pruefung-Leiter</t>
  </si>
  <si>
    <t>Z05</t>
  </si>
  <si>
    <t>Kunde 05</t>
  </si>
  <si>
    <t>Z05 01</t>
  </si>
  <si>
    <t>Elektro-Stapler EJC 110/ZT - Zweifach-Teleskop-Hubgerüst</t>
  </si>
  <si>
    <t>Z100 02</t>
  </si>
  <si>
    <t>UVV-Pruefung-Basispruefung-Fahrzeuge-allgemein</t>
  </si>
  <si>
    <t>Tandem-Wannen-2-Seitenkipper von 18 t - 22 t mit zwei Achsen</t>
  </si>
  <si>
    <t>Wagner</t>
  </si>
  <si>
    <t>Z06</t>
  </si>
  <si>
    <t>Z06001</t>
  </si>
  <si>
    <t>Z06002</t>
  </si>
  <si>
    <t>Z07</t>
  </si>
  <si>
    <t>Kunde 07</t>
  </si>
  <si>
    <t>Z07 01</t>
  </si>
  <si>
    <t>Kipplader</t>
  </si>
  <si>
    <t>Peters</t>
  </si>
  <si>
    <t>Z08</t>
  </si>
  <si>
    <t>Kunde 08</t>
  </si>
  <si>
    <t>Z08 01</t>
  </si>
  <si>
    <t>Z2022040732330</t>
  </si>
  <si>
    <t>Kunde 04</t>
  </si>
  <si>
    <t>Z02</t>
  </si>
  <si>
    <t>Max</t>
  </si>
  <si>
    <t>Z22040201</t>
  </si>
  <si>
    <t>Kunde 01</t>
  </si>
  <si>
    <t>Z2204041850</t>
  </si>
  <si>
    <t>Z2204060035</t>
  </si>
  <si>
    <t>Mini 1</t>
  </si>
  <si>
    <t>Z100 01</t>
  </si>
  <si>
    <t>Alu-Gleitleiter 15m, 100 Sprossen</t>
  </si>
  <si>
    <t>Leiterbau</t>
  </si>
  <si>
    <t>Z2204061349</t>
  </si>
  <si>
    <t>Kunde 03</t>
  </si>
  <si>
    <t>Gerät</t>
  </si>
  <si>
    <t>100 243</t>
  </si>
  <si>
    <t>Z08 02</t>
  </si>
  <si>
    <t>UVV-Pruefung-Flurfoerderzeuge-Maulick</t>
  </si>
  <si>
    <t>Alu-Leiter, 50m</t>
  </si>
  <si>
    <t>Z10</t>
  </si>
  <si>
    <t>Kunde 10</t>
  </si>
  <si>
    <t>Z10 002</t>
  </si>
  <si>
    <t>Aluleiter</t>
  </si>
  <si>
    <t>Eine schöne</t>
  </si>
  <si>
    <t>Mini</t>
  </si>
  <si>
    <t>pobvolde</t>
  </si>
  <si>
    <t>Z1-03</t>
  </si>
  <si>
    <t>6857</t>
  </si>
  <si>
    <t xml:space="preserve">Alu-Gleitleiter 10m </t>
  </si>
  <si>
    <t>Kunde 02 Niederlassung Köllerbach</t>
  </si>
  <si>
    <t>283</t>
  </si>
  <si>
    <t>Z10 001</t>
  </si>
  <si>
    <t>STK-Wartung-Flurfoerderzeuge</t>
  </si>
  <si>
    <t>100 012</t>
  </si>
  <si>
    <t>STK-Flurfoerderzeuge</t>
  </si>
  <si>
    <t>STK</t>
  </si>
  <si>
    <t>Aufstellung-Demogeraete</t>
  </si>
  <si>
    <t>Aufstellung</t>
  </si>
  <si>
    <t>Flurfoerderzeuge</t>
  </si>
  <si>
    <t>Z09</t>
  </si>
  <si>
    <t>Kunde 09 (en)</t>
  </si>
  <si>
    <t>Z001-100</t>
  </si>
  <si>
    <t>Elektrostapler</t>
  </si>
  <si>
    <t>Alu Leiter 50m, 60 Sprossen, 6kg</t>
  </si>
  <si>
    <t>Leitern</t>
  </si>
  <si>
    <t>ZLux1</t>
  </si>
  <si>
    <t>Parking E</t>
  </si>
  <si>
    <t>luxairport</t>
  </si>
  <si>
    <t>STK-Demogeraete</t>
  </si>
  <si>
    <t>Reparatur-Demogeraete</t>
  </si>
  <si>
    <t>Reparatur</t>
  </si>
  <si>
    <t>Reparatur-Flurfoerderzeuge</t>
  </si>
  <si>
    <t>ZDemo2</t>
  </si>
  <si>
    <t>Demo2 GmbH</t>
  </si>
  <si>
    <t>ZDemo3</t>
  </si>
  <si>
    <t>Demo3 GmbH</t>
  </si>
  <si>
    <t>Fahrzeuge</t>
  </si>
  <si>
    <t>ZDemo1</t>
  </si>
  <si>
    <t>VBG4-GUV210-Demogeraete</t>
  </si>
  <si>
    <t>VBG4-GUV210</t>
  </si>
  <si>
    <t>2023-09-11-ZLux1-Z01-Aufstellung-Demogeraete</t>
  </si>
  <si>
    <t>Aéroport de Luxembourg</t>
  </si>
  <si>
    <t>2023-09-Z22040201-Z001-UVV-Pruefung-Leiter</t>
  </si>
  <si>
    <t>2023-09-Z22040201-Z02-UVV-Pruefung-Leiter</t>
  </si>
  <si>
    <t>2023-09-ZDemo3-Z01-STK-Wartung-Fahrzeuge</t>
  </si>
  <si>
    <t>STK-Wartung-Fahrzeuge</t>
  </si>
  <si>
    <t>Wartung</t>
  </si>
  <si>
    <t>2023-09-ZDemo4-ZDemo1-UVV-Pruefung-Demo</t>
  </si>
  <si>
    <t>ZDemo4</t>
  </si>
  <si>
    <t>Demo4 GmbH</t>
  </si>
  <si>
    <t>2023-09-Z2204061349-Z2204060035-UVV-Pruefung-Demo</t>
  </si>
  <si>
    <t>Mini#</t>
  </si>
  <si>
    <t>2023-09-33475-100 012-UVV-Pruefung-Flurfoerderzeuge</t>
  </si>
  <si>
    <t>Demokunde4</t>
  </si>
  <si>
    <t>2023-09-Z2204061349-Z02-UVV-Pruefung-Demo</t>
  </si>
  <si>
    <t>2023-09-Z05-Z100 02-UVV-Pruefung-Flurfoerderzeuge</t>
  </si>
  <si>
    <t>2023-10-Z10-Z10 002-UVV-Pruefung-Leiter</t>
  </si>
  <si>
    <t>2023-10-04-ZDemo1-Z01-Abholung-Demogeraete</t>
  </si>
  <si>
    <t>Abholung-Demogeraete</t>
  </si>
  <si>
    <t>Abholung</t>
  </si>
  <si>
    <t>2023-10-05-ZDemo1-Z01-Reparatur-Demogeraete</t>
  </si>
  <si>
    <t>2023-10-Z22040201-Z001-UVV-Pruefung-Leiter</t>
  </si>
  <si>
    <t>2023-10-ZDemo1-Z01-STK-Demogeraete</t>
  </si>
  <si>
    <t>2023-10-ZDemo1-Z01-UVV-Pruefung-Demo</t>
  </si>
  <si>
    <t>2023-10-Z22040201-Z02-UVV-Pruefung-Leiter</t>
  </si>
  <si>
    <t>2023-10-05-ZDemo3-Z01-Reparatur-Fahrzeuge</t>
  </si>
  <si>
    <t>Reparatur-Fahrzeuge</t>
  </si>
  <si>
    <t>2023-10-06-ZDemo1-Z01-Aufstellung-Demogeraete</t>
  </si>
  <si>
    <t>2023-10-ZDemo2-Z01-UVV-Pruefung-Flurfoerderzeuge</t>
  </si>
  <si>
    <t>2023-10-33475-90 450-STK-Flurfoerderzeuge</t>
  </si>
  <si>
    <t>2023-10-33475-90 565-STK-Flurfoerderzeuge</t>
  </si>
  <si>
    <t>2023-10-33475-103 022-STK-Flurfoerderzeuge</t>
  </si>
  <si>
    <t>2023-10-33475-100 012-STK-Flurfoerderzeuge</t>
  </si>
  <si>
    <t>2023-10-05-Z08-Z08 02-Abholung-Demogeraete</t>
  </si>
  <si>
    <t>2023-10-06-Z08-Z08 02-Reparatur-Demogeraete</t>
  </si>
  <si>
    <t>2023-10-09-Z08-Z08 02-Aufstellung-Demogeraete</t>
  </si>
  <si>
    <t>2023-10-Z08-Z08 02-UVV-Pruefung-Demo</t>
  </si>
  <si>
    <t>2023-10-09-ZLux1-Z01-Abholung-Demogeraete</t>
  </si>
  <si>
    <t>2023-10-12-ZLux1-Z01-Reparatur-Demogeraete</t>
  </si>
  <si>
    <t>2023-10-13-ZDemo1-Z01-Abholung-Demogeraete</t>
  </si>
  <si>
    <t>Test</t>
  </si>
  <si>
    <t>Spielomat X1-45/7</t>
  </si>
  <si>
    <t>Merkur</t>
  </si>
  <si>
    <t>2023-10-20-ZDemo3-Z02-VBG4-GUV210-Demogeraete</t>
  </si>
  <si>
    <t>2023-10-ZDemo3-Z02-UVV-Pruefung-Demo</t>
  </si>
  <si>
    <t>2023-10-ZDemo3-Z02-STK-Demogeraete</t>
  </si>
  <si>
    <t>2023-10-ZDemo3-Z02-STK-Wartung-Demogeraete</t>
  </si>
  <si>
    <t>STK-Wartung-Demogeraete</t>
  </si>
  <si>
    <t>2023-10-20-ZDemo3-Z02-Abholung-Demogeraete</t>
  </si>
  <si>
    <t>2023-10-23-ZDemo3-Z02-Reparatur-Demogeraete</t>
  </si>
  <si>
    <t>SammelINVNR</t>
  </si>
  <si>
    <t>2024-01-Z10-Z10 002-UVV-Pruefung-Leiter</t>
  </si>
  <si>
    <t>2024-01-ZDemo2-Z01-UVV-Pruefung-Flurfoerderzeuge</t>
  </si>
  <si>
    <t>2024-10-Z08-Z08 02-UVV-Pruefung-Demo</t>
  </si>
  <si>
    <t>2023-11-ZDemo3-Z02-UVV-Pruefung-Demo</t>
  </si>
  <si>
    <t>2023-10-23-ZDemo1-Z01-Reparatur-Demogeraete</t>
  </si>
  <si>
    <t>2023-10-6857-90 565-UVV-Pruefung-Flurfoerderzeuge</t>
  </si>
  <si>
    <t>Demokunde2</t>
  </si>
  <si>
    <t>2023-10-22-ZLux1-Z01-Reparatur-Demogeraete</t>
  </si>
  <si>
    <t>2023-10-27-ZDemo4-ZDemo1-Reparatur-Demogeraete</t>
  </si>
  <si>
    <t>2023-10-27-ZDemo4-ZDemo1-Abholung-Demogeraete</t>
  </si>
  <si>
    <t>0</t>
  </si>
  <si>
    <t>2023-10-27-ZDemo4-ZDemo1-VBG4-GUV210-Demogeraete</t>
  </si>
  <si>
    <t>2023-10-27-ZDemo4-ZDemo1-Aufstellung-Demogeraete</t>
  </si>
  <si>
    <t>2023-10-6857-100 012-UVV-Pruefung-Flurfoerderzeuge</t>
  </si>
  <si>
    <t>2023-10-ZDemo4-ZDemo1-STK-Wartung-Demogeraete</t>
  </si>
  <si>
    <t>2023-10-ZDemo3-Z01-UVV-Pruefung-Basispruefung-Fahrzeuge-allgemein</t>
  </si>
  <si>
    <t>2023-10-24-ZDemo3-Z01-Reparatur-Fahrzeuge</t>
  </si>
  <si>
    <t>2023-10-24-ZDemo4-ZDemo1-Reparatur-Demogeraete</t>
  </si>
  <si>
    <t>2023-11-03-Z01-Z06002-Abholung-Demogeraete</t>
  </si>
  <si>
    <t>2023-11-ZDemo4-ZDemo1-UVV-Pruefung-Demo</t>
  </si>
  <si>
    <t>2023-10-ZDemo4-ZDemo1-STK-Demogeraete</t>
  </si>
  <si>
    <t>2023-11-Z2204061349-Z02-UVV-Pruefung-Demo</t>
  </si>
  <si>
    <t>2023-11-05-Z2311052205-Z01-Aufstellung-Demogeraete</t>
  </si>
  <si>
    <t>Z2311052205</t>
  </si>
  <si>
    <t>Firma-12345-12345-12345-12345-12345-123#</t>
  </si>
  <si>
    <t>Spielomat XL1</t>
  </si>
  <si>
    <t>2023-11-ZLux1-Z01-UVV-Pruefung-Demo</t>
  </si>
  <si>
    <t>2023-11-Z2204041850-Z2204060035-UVV-Pruefung-Demo</t>
  </si>
  <si>
    <t>2023-11-33471-100 629-STK-Flurfoerderzeuge</t>
  </si>
  <si>
    <t>Demokunde3</t>
  </si>
  <si>
    <t>2023-11-Z08-Z08 01-STK-Wartung-Flurfoerderzeuge</t>
  </si>
  <si>
    <t xml:space="preserve">ABC </t>
  </si>
  <si>
    <t>2023-11-15-ZDemo1-Z02-Installation-pssService</t>
  </si>
  <si>
    <t>Installation-pssService</t>
  </si>
  <si>
    <t>Service Solution</t>
  </si>
  <si>
    <t>pobvol</t>
  </si>
  <si>
    <t>SW-Installation</t>
  </si>
  <si>
    <t>pssSoftware</t>
  </si>
  <si>
    <t>0x01004DA697DD5B2A494490B975E4735E13C6</t>
  </si>
  <si>
    <t>2024-10-ZLux1-Z01-UVV-Pruefung-Demo</t>
  </si>
  <si>
    <t>2023-11-Z07-Z07 01-UVV-Pruefung-Basispruefung-Fahrzeuge-allgemein</t>
  </si>
  <si>
    <t>2023-11-Z05-Z100+02-UVV-Pruefung-Basispruefung-Fahrzeuge-allgemein</t>
  </si>
  <si>
    <t>Z100+02</t>
  </si>
  <si>
    <t>2023-11-Z09-Z001-100-UVV-Pruefung-Flurfoerderzeuge</t>
  </si>
  <si>
    <t>2023-11-ZDemo3-Z01-UVV-Pruefung-Basispruefung-Fahrzeuge-allgemein</t>
  </si>
  <si>
    <t>2023-11-ZDemo3-Z01-STK-Wartung-Fahrzeuge</t>
  </si>
  <si>
    <t>2023-11-29-ZDemo1-Z01-Reparatur-Demogeraete</t>
  </si>
  <si>
    <t>2023-11-ZDemo1-Z01-UVV-Pruefung-Demo</t>
  </si>
  <si>
    <t>2023-11-33422-100 677-01-UVV-Pruefung-Flurfoerderzeuge-Maulick</t>
  </si>
  <si>
    <t>Demokunde1</t>
  </si>
  <si>
    <t>100 677-01</t>
  </si>
  <si>
    <t>Inv.22 Still RX 20-20 P</t>
  </si>
  <si>
    <t>Still</t>
  </si>
  <si>
    <t>Flurfoerderzeuge (Maulick)</t>
  </si>
  <si>
    <t>2023-12-33471-100 677-01-UVV-Pruefung-Flurfoerderzeuge</t>
  </si>
  <si>
    <t>2023-12-283-103 022-UVV-Pruefung-Flurfoerderzeuge</t>
  </si>
  <si>
    <t>Demokunde5</t>
  </si>
  <si>
    <t>2023-12-Z2022040732330-Z01-UVV-Pruefung-Demo</t>
  </si>
  <si>
    <t>R1150R schwarz-gelb</t>
  </si>
  <si>
    <t>2023-12-Z2022040732330-Z02-UVV-Pruefung-Leiter</t>
  </si>
  <si>
    <t>2023-12-Z05-Z05 01-UVV-Pruefung-Flurfoerderzeuge</t>
  </si>
  <si>
    <t>2023-12-Z05-Z100 01-UVV-Pruefung-Leiter</t>
  </si>
  <si>
    <t>2023-12-ZDemo1-Z01-STK-Wartung-Demogeraete</t>
  </si>
  <si>
    <t>2023-12-Z05-Z06002-UVV-Pruefung-Demo</t>
  </si>
  <si>
    <t>2023-12-22-ZDemo1-Z02-Installation-OnSite-pssService</t>
  </si>
  <si>
    <t>Installation-OnSite-pssService</t>
  </si>
  <si>
    <t>SW-Installation-OnSite</t>
  </si>
  <si>
    <t>2023-12-ZDemo1-Z02-Wartung-pssService</t>
  </si>
  <si>
    <t>Wartung-pssService</t>
  </si>
  <si>
    <t>SW-Wartung</t>
  </si>
  <si>
    <t>Support-pssSoftware</t>
  </si>
  <si>
    <t>SW-Support</t>
  </si>
  <si>
    <t>2024-01-Z22040201-Z001-UVV-Pruefung-Leiter</t>
  </si>
  <si>
    <t>2024-01-Z22040201-Z02-UVV-Pruefung-Leiter</t>
  </si>
  <si>
    <t>2024-08-ZDemo7-ZDemo7 100 629-UVV-Pruefung-Flurfoerderzeuge</t>
  </si>
  <si>
    <t>ZDemo7</t>
  </si>
  <si>
    <t>Demo7</t>
  </si>
  <si>
    <t>ZDemo7 100 629</t>
  </si>
  <si>
    <t>ETV Q 25</t>
  </si>
  <si>
    <t>pobvol pssService: UVV-Prüfung - Flurförderzeug (nicht abgestimmt)</t>
  </si>
  <si>
    <t>Carl-Zeiss-Str. 4, 66740 Saarlouis, D</t>
  </si>
  <si>
    <t>pobvol pssService: UVV-Prüfung - Demogerät (nicht abgestimmt)</t>
  </si>
  <si>
    <t>49.297574,6.927835</t>
  </si>
  <si>
    <t>2024-08-33471-100 629-UVV-Pruefung-Flurfoerderzeuge</t>
  </si>
  <si>
    <t>ZDemo6</t>
  </si>
  <si>
    <t>ZDemo6 100 629</t>
  </si>
  <si>
    <t>2024-08-ZDemo6-ZDemo6 100 629-UVV-Pruefung-Flurfoerderzeuge</t>
  </si>
  <si>
    <t>Poststr. 9, 66822 Lebach, D</t>
  </si>
  <si>
    <t>2024-09-ZDemo2-Z01-UVV-Pruefung-Flurfoerderzeuge</t>
  </si>
  <si>
    <t>2024-09-ZDemo1-Z02-Wartung-pssService</t>
  </si>
  <si>
    <t>Wolfskaulstr. 84, 66292 Riegelsberg, D</t>
  </si>
  <si>
    <t>Demo6</t>
  </si>
  <si>
    <t>2024-08-31-ZDemo2-Z01-Reparatur-Flurfoerderzeuge</t>
  </si>
  <si>
    <t>2024-09-01-ZDemo1-Z01-Reparatur-Demogeraete</t>
  </si>
  <si>
    <t>2025-03-Z2022040732330-Z02-UVV-Pruefung-Leiter</t>
  </si>
  <si>
    <t>2024-09-ZDemo3-Z02-UVV-Pruefung-Demo</t>
  </si>
  <si>
    <t>2024-09-6857-90 565-UVV-Pruefung-Flurfoerderzeuge</t>
  </si>
  <si>
    <t>2024-09-Z2311052205-Z01-UVV-Pruefung-Demo</t>
  </si>
  <si>
    <t>2021-12-Z05-Z05 01-Volker-UVV-Pruefung-Flurfoerderzeuge</t>
  </si>
  <si>
    <t>2021-12-Z22040201-Z02-Volker-UVV-Pruefung-Leiter</t>
  </si>
  <si>
    <t>2022-04-Z2022040732330-Z01-Volker-UVV-Pruefung-Motorrad</t>
  </si>
  <si>
    <t>UVV-Pruefung-Motorrad</t>
  </si>
  <si>
    <t>2022-04-Z2204061349-Z01-Volker-UVV-Pruefung-Motorrad</t>
  </si>
  <si>
    <t>R1150R</t>
  </si>
  <si>
    <t>BWW</t>
  </si>
  <si>
    <t>2022-04-Z22040201-Z001-Volker-UVV-Pruefung-Leiter</t>
  </si>
  <si>
    <t>Alu Leiter 50m, 60 Sprossen, 6kg, Zubehörset 1a</t>
  </si>
  <si>
    <t>2022-04-Z22040201-Z02-Volker-UVV-Pruefung-Leiter</t>
  </si>
  <si>
    <t>2022-03-Z2204041850-Z2204060035-Volker-UVV-Pruefung-Pkw</t>
  </si>
  <si>
    <t>Kunde 02</t>
  </si>
  <si>
    <t>UVV-Pruefung-Pkw</t>
  </si>
  <si>
    <t>2022-03-Z22040201-Z02-Volker-UVV-Pruefung-Leiter</t>
  </si>
  <si>
    <t>2022-02-Z2204041850-Z2204060035-Volker-UVV-Pruefung-Pkw</t>
  </si>
  <si>
    <t>2022-04-33475-103 022-Volker-UVV-Pruefung-Flurfoerderzeuge-Maulick</t>
  </si>
  <si>
    <t>Kunde D</t>
  </si>
  <si>
    <t>2022-04-283-100 629-Volker-UVV-Pruefung-Flurfoerderzeuge-Maulick</t>
  </si>
  <si>
    <t>Kunde E</t>
  </si>
  <si>
    <t>2022-02-33422-90 450-Volker-UVV-Pruefung-Flurfoerderzeuge-Maulick</t>
  </si>
  <si>
    <t>Kunde A</t>
  </si>
  <si>
    <t>2022-01-33422-90 450-Volker-UVV-Pruefung-Flurfoerderzeuge-Maulick</t>
  </si>
  <si>
    <t>2022-01-Z2204061349-Z01-Volker-UVV-Pruefung-Motorrad</t>
  </si>
  <si>
    <t>2022-02-Z2204041850-Z001-Volker-UVV-Pruefung-Pkw</t>
  </si>
  <si>
    <t>2022-01-Z22040201-Z002-Volker-UVV-Pruefung-Motorrad</t>
  </si>
  <si>
    <t>Z002</t>
  </si>
  <si>
    <t>R1150R, schwarz-gelb</t>
  </si>
  <si>
    <t>2022-01-Z22040201-Z001-Volker-UVV-Pruefung-Leiter</t>
  </si>
  <si>
    <t>2022-01-Z22040201-Z02-Volker-UVV-Pruefung-Leiter</t>
  </si>
  <si>
    <t>2022-04-Z2204041850-Z2204060035-Volker-UVV-Pruefung-Pkw</t>
  </si>
  <si>
    <t>2022-04-Z22040201-Z002-Volker-UVV-Pruefung-Motorrad</t>
  </si>
  <si>
    <t>2022-04-6603-103 546-Volker-UVV-Pruefung-Flurfoerderzeuge-Maulick</t>
  </si>
  <si>
    <t>6603</t>
  </si>
  <si>
    <t>Kunde F</t>
  </si>
  <si>
    <t>103 546</t>
  </si>
  <si>
    <t>Climax 2,5 to. Tandem-Laufrollen - rot</t>
  </si>
  <si>
    <t>Climax</t>
  </si>
  <si>
    <t>2022-05-6603-103 546-Volker-UVV-Pruefung-Flurfoerderzeuge-Maulick</t>
  </si>
  <si>
    <t>2022-05-33471-100 677-01-Volker-UVV-Pruefung-Flurfoerderzeuge-Maulick</t>
  </si>
  <si>
    <t>Kunde C</t>
  </si>
  <si>
    <t>2022-05-Z22040201-Z001-Volker-UVV-Pruefung-Template1</t>
  </si>
  <si>
    <t>UVV-Pruefung-Template1</t>
  </si>
  <si>
    <t>2022-05-Z22040201-Z001-Sascha-UVV-Pruefung-Leiter</t>
  </si>
  <si>
    <t>Sascha</t>
  </si>
  <si>
    <t>2022-05-6857-90 565-Volker-UVV-Pruefung-Template1</t>
  </si>
  <si>
    <t>Kunde B</t>
  </si>
  <si>
    <t>2022-05-33422-90 450-Volker-UVV-Pruefung-Template1</t>
  </si>
  <si>
    <t>2022-05-Z22040201-Z003-Volker-UVV-Pruefung-Template1</t>
  </si>
  <si>
    <t>Z003</t>
  </si>
  <si>
    <t>Template1, XL, 50m</t>
  </si>
  <si>
    <t>HE</t>
  </si>
  <si>
    <t>2022-05-Z2022040732330-Z01-Sascha-UVV-Pruefung-Motorrad</t>
  </si>
  <si>
    <t>2022-06-283-100 629-Volker-UVV-Pruefung-Flurfoerderzeuge-Maulick</t>
  </si>
  <si>
    <t>2022-06-Z22040201-Z003-Volker-UVV-Pruefung-Template1</t>
  </si>
  <si>
    <t>2022-06-6603-103 546-Volker-UVV-Pruefung-Leiter</t>
  </si>
  <si>
    <t>2022-06-33475-103 022-Volker-UVV-Pruefung-Flurfoerderzeuge-Maulick</t>
  </si>
  <si>
    <t>2022-06-33471-100 677-01-Volker-UVV-Pruefung-Flurfoerderzeuge-Maulick</t>
  </si>
  <si>
    <t>2022-06-Z220402012345-Z003-Volker-UVV-Pruefung-Template1</t>
  </si>
  <si>
    <t>Z220402012345</t>
  </si>
  <si>
    <t>2022-06-6603-103 546-Volker-UVV-Pruefung-Flurfoerderzeuge-Maulick</t>
  </si>
  <si>
    <t>2022-06-363-103 020-01-Volker-UVV-Pruefung-Flurfoerderzeuge-Maulick</t>
  </si>
  <si>
    <t>363</t>
  </si>
  <si>
    <t>103 020-01</t>
  </si>
  <si>
    <t>Hubwagen AM 2200</t>
  </si>
  <si>
    <t>2022-06-Z2204061349-Z01-Volker-UVV-Pruefung-Motorrad</t>
  </si>
  <si>
    <t>2022-06-Z2204041850-Z2204060035-Volker-UVV-Pruefung-Pkw</t>
  </si>
  <si>
    <t>2022-06-Z2204041850-Z2204060035-Sascha-UVV-Pruefung-Pkw</t>
  </si>
  <si>
    <t>2022-06-Z22040201-Z001-Volker-UVV-Pruefung-Leiter</t>
  </si>
  <si>
    <t>2022-06-Z2022040732330-Z01-Volker-UVV-Pruefung-Motorrad</t>
  </si>
  <si>
    <t>2022-06-33471-100 677-01-Sascha-UVV-Pruefung-Leiter</t>
  </si>
  <si>
    <t>2022-07-Z06-Z06002-Sascha-UVV-Pruefung-Flurfoerderzeuge-Maulick</t>
  </si>
  <si>
    <t>Kunde 06</t>
  </si>
  <si>
    <t>Sovar 2100 Wiegehubwagen</t>
  </si>
  <si>
    <t>RAVAS</t>
  </si>
  <si>
    <t>2022-07-Z05-Z100+02-Volker-UVV-Pruefung-Flurfoerderzeuge-Maulick</t>
  </si>
  <si>
    <t>25+Komponenten</t>
  </si>
  <si>
    <t>2022-07-Z05-Z100 02-Volker-UVV-Pruefung-Flurfoerderzeuge-Maulick</t>
  </si>
  <si>
    <t>2022-07-Z06-Z06002-Volker-UVV-Pruefung-Template1</t>
  </si>
  <si>
    <t>2022-07-Z2022040732330-Z02-Volker-UVV-Pruefung-Leiter</t>
  </si>
  <si>
    <t>Alu-Gleitleiter 10m</t>
  </si>
  <si>
    <t>2022-07-Z05-Z100 01-Sascha-UVV-Pruefung-Leiter</t>
  </si>
  <si>
    <t>2022-07-283-103 022-Volker-UVV-Pruefung-Leiter</t>
  </si>
  <si>
    <t>2022-07-Z2204041850-Z2204060035-Volker-UVV-Pruefung-Pkw</t>
  </si>
  <si>
    <t>2022-01-Z01-Z06002-Volker-UVV-Pruefung-Template1</t>
  </si>
  <si>
    <t>2022-07-Z06-Z06001-Sascha-UVV-Pruefung-Leiter</t>
  </si>
  <si>
    <t>Gleitleiter, Alu, 10m hoch, 30 Sprossen</t>
  </si>
  <si>
    <t>Maxx</t>
  </si>
  <si>
    <t>2022-07-Z06-Z06001-Volker-UVV-Pruefung-Leiter</t>
  </si>
  <si>
    <t>2022-07-Z2022040732330-Z01-Sascha-UVV-Pruefung-Motorrad</t>
  </si>
  <si>
    <t>2022-07-Z2022040732330-Z01-Volker-UVV-Pruefung-Motorrad</t>
  </si>
  <si>
    <t>2022-07-Z01-Z1-03-Volker-UVV-Pruefung-Template1</t>
  </si>
  <si>
    <t>Stapler XXL</t>
  </si>
  <si>
    <t>MAxx</t>
  </si>
  <si>
    <t>2022-07-Z06-Z0603-Volker-UVV-Pruefung-Flurfoerderzeuge-Maulick</t>
  </si>
  <si>
    <t>Z0603</t>
  </si>
  <si>
    <t>Deichselstapler</t>
  </si>
  <si>
    <t>2022-07-Z22040201-Z002-Volker-UVV-Pruefung-Flurfoerderzeuge-Maulick</t>
  </si>
  <si>
    <t>2022-07-Z2022040732330-Z01-Volker-UVV-Pruefung-Flurfoerderzeuge-Maulick</t>
  </si>
  <si>
    <t>2022-08-Z22040201-Z002-Volker-UVV-Pruefung-Motorrad</t>
  </si>
  <si>
    <t>2022-08-Z06-Z0603-Volker P (Gast)-UVV-Pruefung-Flurfoerderzeuge-Maulick</t>
  </si>
  <si>
    <t>Volker P (Gast)</t>
  </si>
  <si>
    <t>2022-08-6603-103 546-Volker-UVV-Pruefung-Flurfoerderzeuge-Maulick</t>
  </si>
  <si>
    <t>2022-08-Z06-Z06002-Volker-UVV-Pruefung-Template1</t>
  </si>
  <si>
    <t>2022-08-Z2204061349-Z2204060035-Volker-UVV-Pruefung-Pkw</t>
  </si>
  <si>
    <t>2022-08-Z2204061349-Z2204060035-Volker P (Gast)-UVV-Pruefung-Pkw</t>
  </si>
  <si>
    <t>2022-08-Z2204041850-Z2204060035-Dirk K (Gast)-UVV-Pruefung-Pkw</t>
  </si>
  <si>
    <t>Dirk K (Gast)</t>
  </si>
  <si>
    <t>2022-08-Z22040201-Z002-Volker P (Gast)-UVV-Pruefung-Motorrad</t>
  </si>
  <si>
    <t>2022-08-Z06-Z06004-Volker P (Gast)-UVV-Pruefung-Motorrad</t>
  </si>
  <si>
    <t>Z06004</t>
  </si>
  <si>
    <t>2022-08-Z06-Z06001-Volker-UVV-Pruefung-Leiter</t>
  </si>
  <si>
    <t>2022-08-Z06-Z06001-Volker P (Gast)-UVV-Pruefung-Leiter</t>
  </si>
  <si>
    <t>2022-08-Z05-Z06002-Volker-UVV-Pruefung-Leiter</t>
  </si>
  <si>
    <t>2022-08-Z05-Z06002-Volker P (Gast)-UVV-Pruefung-Template1</t>
  </si>
  <si>
    <t>2022-08-Z05-Z100 02-Volker-UVV-Pruefung-Basispruefung-Fahrzeuge-allgemein</t>
  </si>
  <si>
    <t>2022-08-Z05-Z100 01-Volker-UVV-Pruefung-Leiter</t>
  </si>
  <si>
    <t>2022-08-Z05-Z05 01-Volker-UVV-Pruefung-Flurfoerderzeuge</t>
  </si>
  <si>
    <t>2022-09-Z2204041850-Z2204060035-Volker P (Gast)-UVV-Pruefung-Demo</t>
  </si>
  <si>
    <t>2022-09-Z06-Z0603-Volker-UVV-Pruefung-Flurfoerderzeuge</t>
  </si>
  <si>
    <t>2022-09-Z06-Z06004-Volker-UVV-Pruefung-Flurfoerderzeuge</t>
  </si>
  <si>
    <t>2022-09-Z06-Z06002-Volker-UVV-Pruefung-Flurfoerderzeuge</t>
  </si>
  <si>
    <t>2022-06-Z05-Z05 01-Volker-UVV-Pruefung-Flurfoerderzeuge</t>
  </si>
  <si>
    <t>2022-09-Z06-Z06001-Volker-UVV-Pruefung-Leiter</t>
  </si>
  <si>
    <t>2022-09-Z05-Z05 01-Volker-UVV-Pruefung-Flurfoerderzeuge</t>
  </si>
  <si>
    <t>2022-09-33475-90 565-Volker-UVV-Pruefung-Flurfoerderzeuge</t>
  </si>
  <si>
    <t>2022-09-33475-100 012-Volker P (Gast)-UVV-Pruefung-Flurfoerderzeuge</t>
  </si>
  <si>
    <t>2022-05-Z05-Z05 01-Volker-UVV-Pruefung-Flurfoerderzeuge</t>
  </si>
  <si>
    <t>2022-04-Z05-Z05 01-Volker-UVV-Pruefung-Flurfoerderzeuge</t>
  </si>
  <si>
    <t>2022-03-Z05-Z05 01-Volker-UVV-Pruefung-Flurfoerderzeuge</t>
  </si>
  <si>
    <t>2022-02-Z05-Z05 01-Volker-UVV-Pruefung-Flurfoerderzeuge</t>
  </si>
  <si>
    <t>2022-01-Z05-Z05 01-Volker-UVV-Pruefung-Flurfoerderzeuge</t>
  </si>
  <si>
    <t>2022-09-6857-100 012-Volker-UVV-Pruefung-Flurfoerderzeuge</t>
  </si>
  <si>
    <t>2022-01-33471-100 629-Volker-UVV-Pruefung-Flurfoerderzeuge</t>
  </si>
  <si>
    <t>2022-07-Z05-Z100 02-Volker-UVV-Pruefung-Basispruefung-Fahrzeuge-allgemein</t>
  </si>
  <si>
    <t>2022-07-Z05-Z05 01-Volker-UVV-Pruefung-Flurfoerderzeuge</t>
  </si>
  <si>
    <t>2022-02-33471-100 629-Volker-UVV-Pruefung-Flurfoerderzeuge</t>
  </si>
  <si>
    <t>2022-09-6603-103 546-Volker-UVV-Pruefung-Flurfoerderzeuge</t>
  </si>
  <si>
    <t>2022-09-33422-100 677-01-Volker-UVV-Pruefung-Flurfoerderzeuge</t>
  </si>
  <si>
    <t>2022-09-33422-Z2211-Volker-UVV-Pruefung-Demo</t>
  </si>
  <si>
    <t>Z2211</t>
  </si>
  <si>
    <t>Gerät XL, rot</t>
  </si>
  <si>
    <t>2022-09-33471-100 629-Volker-UVV-Pruefung-Flurfoerderzeuge</t>
  </si>
  <si>
    <t>2022-10-Z08-Z08 01-Volker-UVV-Pruefung-Flurfoerderzeuge</t>
  </si>
  <si>
    <t>ABC</t>
  </si>
  <si>
    <t>2022-10-Z06-Z06004-Volker-UVV-Pruefung-Flurfoerderzeuge</t>
  </si>
  <si>
    <t>2022-10-Z06-Z06002-Volker-UVV-Pruefung-Flurfoerderzeuge</t>
  </si>
  <si>
    <t>2022-10-Z06-Z06001-Volker-UVV-Pruefung-Leiter</t>
  </si>
  <si>
    <t>2022-10-Z05-Z05 01-Volker-UVV-Pruefung-Flurfoerderzeuge</t>
  </si>
  <si>
    <t>2022-10-1-100 243-Jürgen-UVV-Pruefung-Basispruefung-Fahrzeuge-allgemein</t>
  </si>
  <si>
    <t>Jürgen</t>
  </si>
  <si>
    <t>Kunde H</t>
  </si>
  <si>
    <t>Stapler</t>
  </si>
  <si>
    <t>LINDE</t>
  </si>
  <si>
    <t>2022-10-Z22040201-Z001-Volker P (Gast)-UVV-Pruefung-Leiter</t>
  </si>
  <si>
    <t>2022-10-Z07-Z07 01-Volker-UVV-Pruefung-Demo</t>
  </si>
  <si>
    <t>2022-10-Z06-Z0603-Volker-UVV-Pruefung-Flurfoerderzeuge</t>
  </si>
  <si>
    <t>2022-10-2-221012 1355-Volker P (Gast)-UVV-Pruefung-Flurfoerderzeuge</t>
  </si>
  <si>
    <t>Kunde I</t>
  </si>
  <si>
    <t>2022-10-Z05-Z100 02-Volker-UVV-Pruefung-Basispruefung-Fahrzeuge-allgemein</t>
  </si>
  <si>
    <t>2022-10-33475-90 565-Volker-UVV-Pruefung-Flurfoerderzeuge</t>
  </si>
  <si>
    <t>2022-10-33475-103 022-Volker-UVV-Pruefung-Flurfoerderzeuge</t>
  </si>
  <si>
    <t>2022-10-33475-90 450-Volker-UVV-Pruefung-Flurfoerderzeuge</t>
  </si>
  <si>
    <t>2022-10-Z01-Z01-Volker-UVV-Pruefung-Demo</t>
  </si>
  <si>
    <t>Car</t>
  </si>
  <si>
    <t>Bobby</t>
  </si>
  <si>
    <t>2022-10-Z2204041850-Z2204060035-Dirk K (Gast)-UVV-Pruefung-Demo</t>
  </si>
  <si>
    <t>2022-11-Z05-Z05 01-Volker-UVV-Pruefung-Flurfoerderzeuge</t>
  </si>
  <si>
    <t>2022-10-Z22040201-Z003-Volker-UVV-Pruefung-Demo</t>
  </si>
  <si>
    <t>2022-10-Z2022040732330-Z02-Volker-UVV-Pruefung-Leiter</t>
  </si>
  <si>
    <t>2022-10-Z01-Z01-02-Volker-UVV-Pruefung-Leiter</t>
  </si>
  <si>
    <t>Alu-Gleitleiter, 15m, 50 Sprossen, 50kg</t>
  </si>
  <si>
    <t>Bobbys</t>
  </si>
  <si>
    <t>2022-10-33422-Z2211-Volker-UVV-Pruefung-Demo</t>
  </si>
  <si>
    <t>2022-10-33422-100 677-01-Volker-UVV-Pruefung-Flurfoerderzeuge</t>
  </si>
  <si>
    <t>2022-11-Z2204041850-Z2204060035-Volker-UVV-Pruefung-Demo</t>
  </si>
  <si>
    <t>2022-11-Z07-Z07 01-Volker-UVV-Pruefung-Demo</t>
  </si>
  <si>
    <t>2022-11-1-100 243-Volker-UVV-Pruefung-Basispruefung-Fahrzeuge-allgemein</t>
  </si>
  <si>
    <t>2022-11-Z22040201-Z003-Volker-UVV-Pruefung-Demo</t>
  </si>
  <si>
    <t>2022-11-Z22040201-Z001-Volker-UVV-Pruefung-Leiter</t>
  </si>
  <si>
    <t>2022-11-Z2022040732330-Z01-Volker-UVV-Pruefung-Demo</t>
  </si>
  <si>
    <t>2022-11-Z06-Z0603-Volker-UVV-Pruefung-Flurfoerderzeuge</t>
  </si>
  <si>
    <t>2022-11-Z06-Z06004-Volker-UVV-Pruefung-Flurfoerderzeuge</t>
  </si>
  <si>
    <t>2022-11-Z06-Z06002-Volker-UVV-Pruefung-Flurfoerderzeuge</t>
  </si>
  <si>
    <t>2022-11-Z06-Z06001-Volker-UVV-Pruefung-Leiter</t>
  </si>
  <si>
    <t>2022-11-Z05-Z100 01-Volker-UVV-Pruefung-Leiter</t>
  </si>
  <si>
    <t>2022-11-33471-100 629-Volker-UVV-Pruefung-Flurfoerderzeuge</t>
  </si>
  <si>
    <t>2022-11-33422-100 677-01-Volker-UVV-Pruefung-Flurfoerderzeuge</t>
  </si>
  <si>
    <t>2022-11-2-221012 1355-Volker-UVV-Pruefung-Flurfoerderzeuge</t>
  </si>
  <si>
    <t>2022-11-Z05-Z100 02-Volker-UVV-Pruefung-Basispruefung-Fahrzeuge-allgemein</t>
  </si>
  <si>
    <t>2022-11-Z2204041850-Z02-Volker-UVV-Pruefung-Leiter</t>
  </si>
  <si>
    <t>R1150R 123456789</t>
  </si>
  <si>
    <t>2022-12-Z2204041850-Z01-Volker-UVV-Pruefung-Flurfoerderzeuge</t>
  </si>
  <si>
    <t>1234</t>
  </si>
  <si>
    <t>2022-11-Z2204061349-Z01-Volker-UVV-Pruefung-Demo</t>
  </si>
  <si>
    <t>2022-11-Z01-Z01-Volker-UVV-Pruefung-Demo</t>
  </si>
  <si>
    <t>2022-12-Z2022040732330-Z02-Volker-UVV-Pruefung-Leiter</t>
  </si>
  <si>
    <t>2022-12-Z05-Z05 01-Volker-UVV-Pruefung-Flurfoerderzeuge</t>
  </si>
  <si>
    <t>2022-12-Z22040201-Z003-Volker-UVV-Pruefung-Demo</t>
  </si>
  <si>
    <t>2022-12-Z22040201-Z001-Volker-UVV-Pruefung-Leiter</t>
  </si>
  <si>
    <t>2022-12-33471-100 629-Volker-UVV-Pruefung-Flurfoerderzeuge</t>
  </si>
  <si>
    <t>2022-12-Z2204061349-Z02-Volker-UVV-Pruefung-Demo</t>
  </si>
  <si>
    <t>2022-12-Z07-Z07 01-Volker-UVV-Pruefung-Basispruefung-Fahrzeuge-allgemein</t>
  </si>
  <si>
    <t>2022-12-Z22040201-Z02-Volker-UVV-Pruefung-Leiter</t>
  </si>
  <si>
    <t>2022-12-Z22040201-Z002-Volker-UVV-Pruefung-Motorrad</t>
  </si>
  <si>
    <t>2022-12-33422-Z2211-Volker-UVV-Pruefung-Flurfoerderzeuge-Maulick</t>
  </si>
  <si>
    <t>2022-12-Z01-Z06002-Volker-UVV-Pruefung-Demo</t>
  </si>
  <si>
    <t>2022-12-Z08-Z08 01-Volker-UVV-Pruefung-Flurfoerderzeuge</t>
  </si>
  <si>
    <t>2022-12-Z08-Z08 02-Volker-UVV-Pruefung-Demo</t>
  </si>
  <si>
    <t>2022-12-Z01-Z01-02-Volker-UVV-Pruefung-Leiter</t>
  </si>
  <si>
    <t>2022-12-Z10-Z10 002-Volker-UVV-Pruefung-Leiter</t>
  </si>
  <si>
    <t>2022-12-Z06-Z06001-Volker-UVV-Pruefung-Leiter</t>
  </si>
  <si>
    <t>2022-12-Z05-Z100 01-Volker-UVV-Pruefung-Leiter</t>
  </si>
  <si>
    <t>2022-12-1-100 243-Volker-UVV-Pruefung-Flurfoerderzeuge</t>
  </si>
  <si>
    <t>2022-12-Z05-Z100 02-Volker-UVV-Pruefung-Flurfoerderzeuge</t>
  </si>
  <si>
    <t>2022-12-Z05-Z100 02-Volker-UVV-Pruefung-Demo</t>
  </si>
  <si>
    <t>2022-12-2-221012 1355-Volker-UVV-Pruefung-Flurfoerderzeuge</t>
  </si>
  <si>
    <t>2022-09-Z07-Z07 01-Volker-UVV-Pruefung-Demo</t>
  </si>
  <si>
    <t>2022-12-Z06-Z0603-Volker-UVV-Pruefung-Flurfoerderzeuge</t>
  </si>
  <si>
    <t>2022-12-Z06-Z06002-Volker-UVV-Pruefung-Flurfoerderzeuge</t>
  </si>
  <si>
    <t>2022-12-Z01-Z01-Volker-UVV-Pruefung-Flurfoerderzeuge</t>
  </si>
  <si>
    <t>2023-08-ZDemo2-Z01-STK-Flurfoerderzeuge</t>
  </si>
  <si>
    <t>2023-08-ZDemo1-Z01-UVV-Pruefung-Demo</t>
  </si>
  <si>
    <t>2023-08-16-ZLux1-Z01-Reparatur-Demogeraete</t>
  </si>
  <si>
    <t>2023-01-Z22040201-Z02-Volker-UVV-Pruefung-Leiter</t>
  </si>
  <si>
    <t>2023-08-ZDemo1-Z01-VBG4-GUV210-Demogeraete</t>
  </si>
  <si>
    <t>2023-08-ZDemo1-Z01-Aufstellung-Demogeraete</t>
  </si>
  <si>
    <t>2023-08-ZDemo3-Z01-UVV-Pruefung-Basispruefung-Fahrzeuge-allgemein</t>
  </si>
  <si>
    <t>2023-08-ZLux1-Z01-UVV-Pruefung-Demo</t>
  </si>
  <si>
    <t>Aeroport Luxembourg</t>
  </si>
  <si>
    <t>2023-08-Z05-Z05 01-Volker-Reparatur-Flurfoerderzeuge</t>
  </si>
  <si>
    <t>2023-07-Z22040201-Z001-Volker-UVV-Pruefung-Leiter</t>
  </si>
  <si>
    <t>2023-05-Z22040201-Z002-Volker-UVV-Pruefung-Flurfoerderzeuge</t>
  </si>
  <si>
    <t>2023-07-Z22040201-Z002-Volker-Reparatur-Flurfoerderzeuge</t>
  </si>
  <si>
    <t>2023-07-Z22040201-Z002-Volker-STK-Flurfoerderzeuge</t>
  </si>
  <si>
    <t>2023-08-Z22040201-Z002-UVV-Pruefung-Flurfoerderzeuge</t>
  </si>
  <si>
    <t>2023-08-Z22040201-Z003-Volker-UVV-Pruefung-Flurfoerderzeuge</t>
  </si>
  <si>
    <t>2023-04-ZLux1-Z01-Aufstellung-Demogeraete</t>
  </si>
  <si>
    <t>2023-06-ZLux1-Z01-Volker-STK-Demogeraete</t>
  </si>
  <si>
    <t>2023-08-ZLux1-Z01-Volker-UVV-Pruefung-Demo</t>
  </si>
  <si>
    <t>2023-08-Z2204041850-Z2204060035-UVV-Pruefung-Demo</t>
  </si>
  <si>
    <t>2023-03-Z22040201-Z002-Volker-UVV-Pruefung-Flurfoerderzeuge</t>
  </si>
  <si>
    <t>2023-05-ZLux1-Z01-Volker-UVV-Pruefung-Demo</t>
  </si>
  <si>
    <t>2023-03-Z05-Z05 01-Volker-UVV-Pruefung-Flurfoerderzeuge</t>
  </si>
  <si>
    <t>2023-05-Z22040201-Z001-Volker-UVV-Pruefung-Leiter</t>
  </si>
  <si>
    <t>2023-05-pobvolde-Z01-Volker-UVV-Pruefung-Demo</t>
  </si>
  <si>
    <t>Volker Pobloth</t>
  </si>
  <si>
    <t>Herr Pobloth</t>
  </si>
  <si>
    <t>Mini Basic</t>
  </si>
  <si>
    <t>2023-04-Z22040201-Z001-Volker-UVV-Pruefung-Leiter</t>
  </si>
  <si>
    <t>2023-05-Z22040201-Z003-Volker-UVV-Pruefung-Flurfoerderzeuge</t>
  </si>
  <si>
    <t xml:space="preserve">Template1, XL, 50m </t>
  </si>
  <si>
    <t>2023-08-Z05-Z05 01-Volker-Aufstellung-Demogeraete</t>
  </si>
  <si>
    <t>2023-08-Z05-Z05 01-Volker-UVV-Pruefung-Flurfoerderzeuge</t>
  </si>
  <si>
    <t>2023-08-Z05-Z05 01-Volker-STK-Flurfoerderzeuge</t>
  </si>
  <si>
    <t>2023-08-Z06-Z06002-Volker-STK-Flurfoerderzeuge</t>
  </si>
  <si>
    <t xml:space="preserve">Sovar 2100 Wiegehubwagen </t>
  </si>
  <si>
    <t>2023-08-Z06-Z06002-Volker-STK-Wartung-Flurfoerderzeuge</t>
  </si>
  <si>
    <t>2023-08-6857-100 012-Volker-UVV-Pruefung-Flurfoerderzeuge</t>
  </si>
  <si>
    <t>2023-08-33471-100 629-Volker-UVV-Pruefung-Flurfoerderzeuge</t>
  </si>
  <si>
    <t>2023-08-Z06-Z06002-Volker-UVV-Pruefung-Flurfoerderzeuge</t>
  </si>
  <si>
    <t>2023-07-Z06-Z06002-Volker-UVV-Pruefung-Flurfoerderzeuge</t>
  </si>
  <si>
    <t>2023-07-Z05-Z05 01-Volker-STK-Wartung-Flurfoerderzeuge</t>
  </si>
  <si>
    <t>2023-03-Z22040201-Z02-Volker-UVV-Pruefung-Leiter</t>
  </si>
  <si>
    <t>2023-07-Z01-Z06002-Volker-UVV-Pruefung-Demo</t>
  </si>
  <si>
    <t>2023-07-Z01-Z01-Volker-UVV-Pruefung-Flurfoerderzeuge</t>
  </si>
  <si>
    <t>2023-07-Z01-Z01-02-Volker-UVV-Pruefung-Leiter</t>
  </si>
  <si>
    <t>2023-07-2-221012 1355-Volker-UVV-Pruefung-Flurfoerderzeuge</t>
  </si>
  <si>
    <t>2023-06-Z10-Z10 001-Volker-UVV-Pruefung-Demo</t>
  </si>
  <si>
    <t>2023-06-Z07-Z07 01-Volker-UVV-Pruefung-Basispruefung-Fahrzeuge-allgemein</t>
  </si>
  <si>
    <t>2023-05-Z10-Z10 001-Volker-UVV-Pruefung-Demo</t>
  </si>
  <si>
    <t>2023-06-Z2022040732330-Z02-Volker-UVV-Pruefung-Leiter</t>
  </si>
  <si>
    <t>2023-06-Z06-Z0603-Volker-UVV-Pruefung-Flurfoerderzeuge</t>
  </si>
  <si>
    <t>HY H 10.00 XL - 12 EC</t>
  </si>
  <si>
    <t>2023-06-Z06-Z06004-Volker-UVV-Pruefung-Flurfoerderzeuge</t>
  </si>
  <si>
    <t>2023-06-Z06-Z06002-Volker-UVV-Pruefung-Flurfoerderzeuge</t>
  </si>
  <si>
    <t>2023-06-283-100 629-Volker-UVV-Pruefung-Flurfoerderzeuge</t>
  </si>
  <si>
    <t>2023-06-Z2204041850-Z01-Volker-UVV-Pruefung-Demo</t>
  </si>
  <si>
    <t>2023-06-1-100 243-Volker-UVV-Pruefung-Flurfoerderzeuge</t>
  </si>
  <si>
    <t>2023-05-Z2022040732330-Z02-Volker-UVV-Pruefung-Leiter</t>
  </si>
  <si>
    <t>2023-05-Z01-Z06002-Volker-UVV-Pruefung-Demo</t>
  </si>
  <si>
    <t>2023-05-2-221012 1355-Volker-UVV-Pruefung-Flurfoerderzeuge</t>
  </si>
  <si>
    <t>2023-05-Z2204061349-Z02-Volker-UVV-Pruefung-Demo</t>
  </si>
  <si>
    <t>2023-05-33422-Z2211-Volker-UVV-Pruefung-Flurfoerderzeuge</t>
  </si>
  <si>
    <t>2023-05-1-100 243-Volker-UVV-Pruefung-Flurfoerderzeuge</t>
  </si>
  <si>
    <t>2023-05-Z01-Z01-Volker-UVV-Pruefung-Flurfoerderzeuge</t>
  </si>
  <si>
    <t>2023-05-Z01-Z01-02-Volker-UVV-Pruefung-Leiter</t>
  </si>
  <si>
    <t>2023-05-Z2204061349-Z01-Volker-UVV-Pruefung-Demo</t>
  </si>
  <si>
    <t>2023-05-6857-90 565-Volker-UVV-Pruefung-Flurfoerderzeuge</t>
  </si>
  <si>
    <t>2023-05-33422-90 450-Volker-UVV-Pruefung-Flurfoerderzeuge</t>
  </si>
  <si>
    <t>2023-05-Z2204041850-Z2204060035-Volker-UVV-Pruefung-Demo</t>
  </si>
  <si>
    <t>Kunde 02 
Niederlassung Köllerbach</t>
  </si>
  <si>
    <t>2023-05-Z07-Z07 01-Volker-UVV-Pruefung-Basispruefung-Fahrzeuge-allgemein</t>
  </si>
  <si>
    <t>2023-05-Z05-Z05 01-Volker-UVV-Pruefung-Flurfoerderzeuge</t>
  </si>
  <si>
    <t>2023-05-Z06-Z06002-Volker-UVV-Pruefung-Flurfoerderzeuge</t>
  </si>
  <si>
    <t>2023-05-Z22040201-Z02-Volker-UVV-Pruefung-Leiter</t>
  </si>
  <si>
    <t>2023-05-Z22040201-Z002-Volker-UVV-Pruefung-Demo</t>
  </si>
  <si>
    <t>2023-05-Z2204041850-Z01-Volker-UVV-Pruefung-Demo</t>
  </si>
  <si>
    <t>2023-04-Z2022040732330-Z02-Volker-UVV-Pruefung-Leiter</t>
  </si>
  <si>
    <t>2023-04-33422-Z2211-Volker-UVV-Pruefung-Flurfoerderzeuge</t>
  </si>
  <si>
    <t>2023-04-Z2204061349-Z02-Volker-UVV-Pruefung-Demo</t>
  </si>
  <si>
    <t>2023-04-Z05-Z05 01-Volker-UVV-Pruefung-Flurfoerderzeuge</t>
  </si>
  <si>
    <t>2023-04-1-100 243-Volker-UVV-Pruefung-Flurfoerderzeuge</t>
  </si>
  <si>
    <t>2023-03-Z05-Z100 02-Volker-UVV-Pruefung-Flurfoerderzeuge</t>
  </si>
  <si>
    <t>2023-03-Z10-Z10 002-Volker-UVV-Pruefung-Leiter</t>
  </si>
  <si>
    <t>2023-03-33422-Z2211-Volker-UVV-Pruefung-Flurfoerderzeuge</t>
  </si>
  <si>
    <t>2023-03-Z2022040732330-Z02-Volker-UVV-Pruefung-Leiter</t>
  </si>
  <si>
    <t>2023-03-Z05-Z05 01-Volker-UVV-Pruefung-Demo</t>
  </si>
  <si>
    <t>2023-03-Z05-Z100 01-Volker-UVV-Pruefung-Leiter</t>
  </si>
  <si>
    <t>2023-03-1-100 243-Volker-UVV-Pruefung-Flurfoerderzeuge</t>
  </si>
  <si>
    <t>2023-03-Z2204061349-Z02-Volker-UVV-Pruefung-Demo</t>
  </si>
  <si>
    <t>2023-03-Z22040201-Z001-Volker-UVV-Pruefung-Leiter</t>
  </si>
  <si>
    <t>2023-03-Z07-Z07 01-Volker-UVV-Pruefung-Basispruefung-Fahrzeuge-allgemein</t>
  </si>
  <si>
    <t>2023-03-Z22040201-Z003-Volker-UVV-Pruefung-Flurfoerderzeuge</t>
  </si>
  <si>
    <t>2023-03-Z01-Z01-02-Volker-UVV-Pruefung-Leiter</t>
  </si>
  <si>
    <t>2023-03-Z06-Z06002-Volker-UVV-Pruefung-Flurfoerderzeuge</t>
  </si>
  <si>
    <t>2023-03-Z06-Z0603-Volker-UVV-Pruefung-Flurfoerderzeuge</t>
  </si>
  <si>
    <t>2023-03-Z06-Z06001-Volker-UVV-Pruefung-Leiter</t>
  </si>
  <si>
    <t>2023-02-Z22040201-Z004-Volker-UVV-Pruefung-Demo</t>
  </si>
  <si>
    <t>Z004</t>
  </si>
  <si>
    <t>Sandy Golf</t>
  </si>
  <si>
    <t>Cordial</t>
  </si>
  <si>
    <t>2023-02-Z22040201-Z002-Volker-UVV-Pruefung-Demo</t>
  </si>
  <si>
    <t>2023-03-Z22040201-Z004-Volker-UVV-Pruefung-Flurfoerderzeuge</t>
  </si>
  <si>
    <t>2023-02-Z22040201-Z003-Volker-UVV-Pruefung-Demo</t>
  </si>
  <si>
    <t>2023-03-Z22040201-Z001-Volker-UVV-Pruefung-Demo</t>
  </si>
  <si>
    <t>2023-02-Z01-Z01-Volker-UVV-Pruefung-Flurfoerderzeuge</t>
  </si>
  <si>
    <t>2023-02-2-221012 1355-Volker-UVV-Pruefung-Flurfoerderzeuge</t>
  </si>
  <si>
    <t>2023-02-1-100 243-Volker-UVV-Pruefung-Flurfoerderzeuge</t>
  </si>
  <si>
    <t>2023-02-Z01-Z01-02-Volker-UVV-Pruefung-Leiter</t>
  </si>
  <si>
    <t>2023-02-Z01-Z1-03-Volker-UVV-Pruefung-Flurfoerderzeuge</t>
  </si>
  <si>
    <t>2023-02-pobvolde-Z01-Volker-UVV-Pruefung-Pkw</t>
  </si>
  <si>
    <t>2023-02-Z2204061349-Z01-Volker-UVV-Pruefung-Motorrad</t>
  </si>
  <si>
    <t>2023-02-Z01-Z06002-Volker-UVV-Pruefung-Demo</t>
  </si>
  <si>
    <t>2023-02-33422-Z2211-Volker-UVV-Pruefung-Flurfoerderzeuge-Maulick</t>
  </si>
  <si>
    <t>2023-02-Z2204041850-Z2204060035-Volker-UVV-Pruefung-Pkw</t>
  </si>
  <si>
    <t>2023-02-Z2204041850-Z02-Volker-UVV-Pruefung-Motorrad</t>
  </si>
  <si>
    <t>2023-02-Z2204041850-Z01-Volker-UVV-Pruefung-Demo</t>
  </si>
  <si>
    <t>2023-02-Z2022040732330-Z02-Volker-UVV-Pruefung-Leiter</t>
  </si>
  <si>
    <t>2023-02-Z2204061349-Z02-Volker-UVV-Pruefung-Demo</t>
  </si>
  <si>
    <t>2023-02-Z07-Z07 01-Volker-UVV-Pruefung-Basispruefung-Fahrzeuge-allgemein</t>
  </si>
  <si>
    <t>2023-02-Z05-Z05 01-Volker-UVV-Pruefung-Flurfoerderzeuge</t>
  </si>
  <si>
    <t>2023-02-Z06-Z06001-Volker-UVV-Pruefung-Leiter</t>
  </si>
  <si>
    <t>2023-02-Z2204041850-Z001-Volker-UVV-Pruefung-Pkw</t>
  </si>
  <si>
    <t>2023-01-Z06-Z06004-Volker-UVV-Pruefung-Flurfoerderzeuge</t>
  </si>
  <si>
    <t>2023-01-Z06-Z06002-Volker-UVV-Pruefung-Flurfoerderzeuge</t>
  </si>
  <si>
    <t>2023-01-Z06-Z06001-Volker-UVV-Pruefung-Leiter</t>
  </si>
  <si>
    <t>2023-01-Z06-Z0603-Volker-UVV-Pruefung-Flurfoerderzeuge</t>
  </si>
  <si>
    <t>2023-01-Z22040201-Z001-Volker-UVV-Pruefung-Leiter</t>
  </si>
  <si>
    <t>2023-01-Z22040201-Z003-Volker-UVV-Pruefung-Flurfoerderzeuge</t>
  </si>
  <si>
    <t>2023-01-Z22040201-Z002-Volker-UVV-Pruefung-Flurfoerderzeuge</t>
  </si>
  <si>
    <t>12</t>
  </si>
  <si>
    <t>11</t>
  </si>
  <si>
    <t>04</t>
  </si>
  <si>
    <t>05</t>
  </si>
  <si>
    <t>06</t>
  </si>
  <si>
    <t>07</t>
  </si>
  <si>
    <t>08</t>
  </si>
  <si>
    <t>09</t>
  </si>
  <si>
    <t>01</t>
  </si>
  <si>
    <t>02</t>
  </si>
  <si>
    <t>03</t>
  </si>
  <si>
    <t>2024-01-33422-100 677-01-STK-Wartung-Flurfoerderzeuge</t>
  </si>
  <si>
    <t>RX 20-20 P</t>
  </si>
  <si>
    <t>2024-01-33422-90 450-STK-Wartung-Flurfoerderzeuge</t>
  </si>
  <si>
    <t>EJE 16</t>
  </si>
  <si>
    <t>Deichselstapler H 1000</t>
  </si>
  <si>
    <t>2024-09-ZDemo6-ZDemo6 100 629-STK-Wartung-Flurfoerderzeuge</t>
  </si>
  <si>
    <t>2024-09-Z22040201-Z001-UVV-Pruefung-Leiter</t>
  </si>
  <si>
    <t>2024-09-ZDemo7-ZDemo7 100 629-UVV-Pruefung-Flurfoerderzeuge</t>
  </si>
  <si>
    <t>2024-09-27-ZDemo8-pssService-Installation-pssService</t>
  </si>
  <si>
    <t>ZDemo8</t>
  </si>
  <si>
    <t>Demo8</t>
  </si>
  <si>
    <t>pssService</t>
  </si>
  <si>
    <t>2024-09-27-ZDemo8-pssService-Installation-OnSite-pssService</t>
  </si>
  <si>
    <t>2024-09-03-ZDemo1-Z02-Support-pssSoftware</t>
  </si>
  <si>
    <t>2024-09-29-ZDemo8-pssService-Support-pssSoftware</t>
  </si>
  <si>
    <t>2024-09-29-ZDemo8-pssService-Installation-Remote-pssSoftware</t>
  </si>
  <si>
    <t>Installation-Remote-pssSoftware</t>
  </si>
  <si>
    <t>2024-09-Z22040201-Z02-UVV-Pruefung-Leiter</t>
  </si>
  <si>
    <t>2024-09-ZDemo8-pssService-Wartung-pssSoftware</t>
  </si>
  <si>
    <t>Wartung-pssSoftware</t>
  </si>
  <si>
    <t>Nobby</t>
  </si>
  <si>
    <t>2024-10-ZDemo3-Z02-UVV-Pruefung-Demo</t>
  </si>
  <si>
    <t>Wolfskaulstr. 84, D-66292 Riegelsberg</t>
  </si>
  <si>
    <t>2024-10-ZDemo1-Z01-STK-Demogeraete</t>
  </si>
  <si>
    <t>1.1</t>
  </si>
  <si>
    <t>2024-09-30-18-48-51-Volker-ZDemo8-pssService-Support-pssSoftware</t>
  </si>
  <si>
    <t>2024-10-Z2204061349-Z2204060035-UVV-Pruefung-Demo</t>
  </si>
  <si>
    <t>2024-09-33475-90 450-UVV-Pruefung-Flurfoerderzeuge</t>
  </si>
  <si>
    <t>2024-09-33475-90 565-UVV-Pruefung-Flurfoerderzeuge</t>
  </si>
  <si>
    <t>2024-09-30-ZDemo1-Z01-Abholung-Demogeraete</t>
  </si>
  <si>
    <t>2024-09-30-ZDemo8-pssService-Installation-OnSite-pssSoftware</t>
  </si>
  <si>
    <t>Installation-OnSite-pssSoftware</t>
  </si>
  <si>
    <t>2024-10-02-17-22-22-Volker-ZDemo8-pssService-Support-pssSoftware</t>
  </si>
  <si>
    <t>2024-10-02-17-22-29-Volker-ZDemo8-pssService-Support-pssSoftware</t>
  </si>
  <si>
    <t>2024-10-04-15-29-10-Volker-ZDemo8-pssService-Support-pssSoftware</t>
  </si>
  <si>
    <t>2024-10-ZDemo8-pssService-Wartung-pssSoftware</t>
  </si>
  <si>
    <t>Wir haben keine Mängel gefunden. Einer Nutzung stehen keine Bedenken entgegen.</t>
  </si>
  <si>
    <t>2024-10-06-22-31-14-Volker-ZDemo8-pssService-Support-pssSoftware</t>
  </si>
  <si>
    <t>Wir haben Mängel beseitigt. Einer Nutzung stehen keine Bedenken entgegen.</t>
  </si>
  <si>
    <t>2024-10-07-ZDemo8-pssService-Installation-Remote-pssSoftware</t>
  </si>
  <si>
    <t>Unser Techniker hat Mängel gefunden und beseitigt. Einer Nutzung stehen keine Bedenken entgegen.</t>
  </si>
  <si>
    <t>2024-10-ZDemo1-Z03-UVV-Pruefung-Flurfoerderzeuge</t>
  </si>
  <si>
    <t>Z03</t>
  </si>
  <si>
    <t>Wir haben wenige kleine Mängel gefunden. Einer Nutzung stehen keine Bedenken entgegen. Sie bekommen die neue Prüfplakette. Gekennzeichnete Mängel sollten jedoch zeitnah beseitigt werden!</t>
  </si>
  <si>
    <t>2024-10-10-14-33-26-Volker-ZDemo8-pssService-Support-pssSoftware</t>
  </si>
  <si>
    <t>2024-10-ZDemo1-Z03-STK-Wartung-Flurfoerderzeuge</t>
  </si>
  <si>
    <t>2024-10-Z06-Z06002-UVV-Pruefung-Flurfoerderzeuge</t>
  </si>
  <si>
    <t>Wir haben keine Mängel gefunden. Einer Nutzung stehen keine Bedenken entgegen. Sie bekommen die neue Prüfplakette.</t>
  </si>
  <si>
    <t>2024-10-10-20-57-57-Volker-ZDemo8-pssService-Support-pssSoftware</t>
  </si>
  <si>
    <t>2024-10-ZDemo2-Z01-STK-Flurfoerderzeuge</t>
  </si>
  <si>
    <t>2024-10-12-ZDemo7-ZDemo7 100 629-Reparatur-Flurfoerderzeuge</t>
  </si>
  <si>
    <t>2024-10-ZDemo1-Z02-Wartung-pssSoftware</t>
  </si>
  <si>
    <t>2024-10-05-ZDemo1-Z01-Abholung-Demogeraete</t>
  </si>
  <si>
    <t>2024-10-05-ZDemo1-Z04-Aufstellung-Demogeraete</t>
  </si>
  <si>
    <t>Z04</t>
  </si>
  <si>
    <t>Device</t>
  </si>
  <si>
    <t>2024-10-05-ZDemo1-Z04-Abholung-Demogeraete</t>
  </si>
  <si>
    <t>2024-10-ZDemo1-Z05-UVV-Pruefung-Demo</t>
  </si>
  <si>
    <t>Device2</t>
  </si>
  <si>
    <t>2024-10-05-ZDemo1-Z05-Aufstellung-Demogeraete</t>
  </si>
  <si>
    <t>2024-10-ZDemo3-Z01-UVV-Pruefung-Basispruefung-Fahrzeuge-allgemein</t>
  </si>
  <si>
    <t>Wegen gefährlichen Sicherheitsmängeln, die eine direkte und unmittelbare Gefährdung darstellen oder die Umwelt beeinträchtigen, stehen einer Nutzung Bedenken entgegen! Sie erhalten daher keine Plakette.</t>
  </si>
  <si>
    <t>2024-10-ZDemo1-Z05-STK-Wartung-Demogeraete</t>
  </si>
  <si>
    <t>Due to considerable safety deficiencies, there are concerns about its use! Therefore, you will not receive a sticker.</t>
  </si>
  <si>
    <t>2024-10-Z01-Z01-02-UVV-Pruefung-Leiter</t>
  </si>
  <si>
    <t>Wir haben Mängel beseitigt. Einer Nutzung stehen keine Bedenken entgegen. Sie bekommen die neue Prüfplakette.</t>
  </si>
  <si>
    <t>2024-10-13-13-37-23-Volker-ZDemo1-Z02-Support-pssSoftware</t>
  </si>
  <si>
    <t>Wir haben wenige kleine Mängel gefunden. Einer Nutzung stehen keine Bedenken entgegen. Gekennzeichnete Mängel sollten jedoch zeitnah beseitigt werden!</t>
  </si>
  <si>
    <t>2024-10-6857-100 012-STK-Wartung-Flurfoerderzeuge</t>
  </si>
  <si>
    <t>2024-10-13-15-44-07-Volker-ZDemo8-pssService-Support-pssSoftware</t>
  </si>
  <si>
    <t>2024-10-13-ZDemo4-ZDemo1-Reparatur-Demogeraete</t>
  </si>
  <si>
    <t>2024-10-13-ZLux1-Z01-Abholung-Demogeraete</t>
  </si>
  <si>
    <t>2024-10-ZDemo1-Z04-UVV-Pruefung-Demo</t>
  </si>
  <si>
    <t>2024-10-Z07-Z07 01-UVV-Pruefung-Basispruefung-Fahrzeuge-allgemein</t>
  </si>
  <si>
    <t>2024-10-14-15-54-15-Jürgen-ZDemo8-pssService-Support-pssSoftware</t>
  </si>
  <si>
    <t>2024-10-283-100 629-UVV-Pruefung-Flurfoerderzeuge</t>
  </si>
  <si>
    <t>2024-10-Z2204061349-Z02-UVV-Pruefung-Demo</t>
  </si>
  <si>
    <t>2024-10-Z06-Z06001-UVV-Pruefung-Leiter</t>
  </si>
  <si>
    <t>2024-10-Z10-Z234567890123456-UVV-Pruefung-Flurfoerderzeuge</t>
  </si>
  <si>
    <t>Z234567890123456</t>
  </si>
  <si>
    <t>2024-10-pobvolde-Z01-UVV-Pruefung-Demo</t>
  </si>
  <si>
    <t>2024-10-Z01-Z1-03-UVV-Pruefung-Flurfoerderzeuge</t>
  </si>
  <si>
    <t>2024-10-1-100 243-UVV-Pruefung-Flurfoerderzeuge</t>
  </si>
  <si>
    <t>2024-10-Z10-Z10 002-UVV-Pruefung-Leiter</t>
  </si>
  <si>
    <t>2024-11-Z07-Z07 01-UVV-Pruefung-Basispruefung-Fahrzeuge-allgemein</t>
  </si>
  <si>
    <t>ServiceartText</t>
  </si>
  <si>
    <t>ChecklisteText</t>
  </si>
  <si>
    <t>DauerInMin0</t>
  </si>
  <si>
    <t>GeraetetypText</t>
  </si>
  <si>
    <t>DauerInMin</t>
  </si>
  <si>
    <t>2024-11-Z10-Z10 001-UVV-Pruefung-Demo</t>
  </si>
  <si>
    <t>2024-11-1-100 243-UVV-Pruefung-Flurfoerderzeuge</t>
  </si>
  <si>
    <t>2024-11-pobvolde-Z01-UVV-Pruefung-Demo</t>
  </si>
  <si>
    <t>2024-11-Z01-Z06002-UVV-Pruefung-Demo</t>
  </si>
  <si>
    <t>2024-11-ZDemo1-Z01-STK-Demogeraete</t>
  </si>
  <si>
    <t>2024-12-ZDemo1-Z01-STK-Demogeraete</t>
  </si>
  <si>
    <t>Sicherheitstechnische Kontrolle (STK)</t>
  </si>
  <si>
    <t>Checkliste STK Flurförderzeug v1</t>
  </si>
  <si>
    <t>2025-01-ZDemo2-Z01-STK-Flurfoerderzeuge</t>
  </si>
  <si>
    <t>Flurförderzeug</t>
  </si>
  <si>
    <t>Installation (Remote)</t>
  </si>
  <si>
    <t>Installation der pssSoftware gem. Handbuch v9'24</t>
  </si>
  <si>
    <t>2025-02-18-ZDemo1-Z02-Installation-Remote-pssSoftware</t>
  </si>
  <si>
    <t>Produktionsabteilung</t>
  </si>
  <si>
    <t>Support</t>
  </si>
  <si>
    <t>Support für die pssSoftware</t>
  </si>
  <si>
    <t>2025-02-18-18-16-44-Volker-ZDemo1-Z02-Support-pssSoftware</t>
  </si>
  <si>
    <t>2025-02-19-14-34-11-Volker-ZDemo1-Z02-Support-pssSoftware</t>
  </si>
  <si>
    <t>Diagnostik</t>
  </si>
  <si>
    <t>Ayurveda for Balance Diagnostics</t>
  </si>
  <si>
    <t>2025-02-22-09-01-Ayurveda-diagnostics</t>
  </si>
  <si>
    <t>Ayurveda</t>
  </si>
  <si>
    <t>Ayurveda-diagnostics</t>
  </si>
  <si>
    <t>Treatment</t>
  </si>
  <si>
    <t>Ayurveda for Balance</t>
  </si>
  <si>
    <t>UVV-Prüfung</t>
  </si>
  <si>
    <t>Basisprüfung Prüfliste A (Arbeitssicherheit – Fahrzeuge allgemein)</t>
  </si>
  <si>
    <t>2025-02-ZDemo3-Z01-UVV-Pruefung-Basispruefung-Fahrzeuge-allgemein</t>
  </si>
  <si>
    <t>Fahrzeug</t>
  </si>
  <si>
    <t>STK/Wartung</t>
  </si>
  <si>
    <t>Checkliste STK/Wartung Demogerät v1</t>
  </si>
  <si>
    <t>2025-02-ZDemo4-ZDemo1-STK-Wartung-Demogeraete</t>
  </si>
  <si>
    <t>Demogerät</t>
  </si>
  <si>
    <t>2025-02-23-ZDemo1-Z02-Installation-Remote-pssSoftware</t>
  </si>
  <si>
    <t>UVV inspection</t>
  </si>
  <si>
    <t>Checklist demo device according to pobvol Information 6-22-10</t>
  </si>
  <si>
    <t>2025-02-ZLux1-Z01-UVV-Pruefung-Demo</t>
  </si>
  <si>
    <t>Demo device</t>
  </si>
  <si>
    <t>We did not find any defects. There are no objections to its use. You will receive the new inspection sticker.</t>
  </si>
  <si>
    <t>Wartung (Remote)</t>
  </si>
  <si>
    <t>Wiederkehrende Wartung der pssSoftware gem. Handbuch v9'24</t>
  </si>
  <si>
    <t>2025-02-ZDemo8-pssService-Wartung-pssSoftware</t>
  </si>
  <si>
    <t>Installation (vor Ort)</t>
  </si>
  <si>
    <t>2025-02-26-ZDemo1-Z02-Installation-OnSite-pssSoftware</t>
  </si>
  <si>
    <t>Ayurveda-Test</t>
  </si>
  <si>
    <t>Schneller Ayurveda-Test</t>
  </si>
  <si>
    <t>Ayurveda for Balance doshas checklist 2'25</t>
  </si>
  <si>
    <t>2025-02-24-10-01-Doshas-checklist</t>
  </si>
  <si>
    <t>Demo10</t>
  </si>
  <si>
    <t>Doshas-checklist</t>
  </si>
  <si>
    <t>AFB</t>
  </si>
  <si>
    <t>Prüfliste Demogerät gem. pobvol Information 6-22-10</t>
  </si>
  <si>
    <t>2025-02-Z2204041850-Z001-UVV-Pruefung-Demo</t>
  </si>
  <si>
    <t>Shamana</t>
  </si>
  <si>
    <t>Palliative Therapie (Shamana)</t>
  </si>
  <si>
    <t>Ayurveda for Balance Shamana Therapy</t>
  </si>
  <si>
    <t>2025-03-03-10-01-Shamana-therapy</t>
  </si>
  <si>
    <t>Shamana-therapy</t>
  </si>
  <si>
    <t>2025-03-05-10-01-Doshas-checklist</t>
  </si>
  <si>
    <t>Prüfliste nach DGUV V 68 / FEM 4.004 (ehemals UVV oder BGV)</t>
  </si>
  <si>
    <t>2025-02-Z01-Z01-UVV-Pruefung-Flurfoerderzeuge</t>
  </si>
  <si>
    <t>2025-02-ZDemo1-Z02-Wartung-pssSoftware</t>
  </si>
  <si>
    <t>2025-02-283-103 022-UVV-Pruefung-Flurfoerderzeuge</t>
  </si>
  <si>
    <t>2025-03-11-10-01-Ayurveda-diagnostics</t>
  </si>
  <si>
    <t>Demo10
Name2
Name3</t>
  </si>
  <si>
    <t>2025-03-33475-90 450-UVV-Pruefung-Flurfoerderzeuge</t>
  </si>
  <si>
    <t>2025-03-ZDemo8-pssService-Wartung-pssSoftware</t>
  </si>
  <si>
    <t>2025-03-33475-90 565-UVV-Pruefung-Flurfoerderzeuge</t>
  </si>
  <si>
    <t>Wiederkehrende Prüfung von Steigleitern gem. pobvol Information 6-22-009</t>
  </si>
  <si>
    <t>2025-03-Z22040201-Z001-UVV-Pruefung-Leiter</t>
  </si>
  <si>
    <t>Leiter</t>
  </si>
  <si>
    <t>2025-03-Z22040201-Z02-UVV-Pruefung-Leiter</t>
  </si>
  <si>
    <t>Herr Demo10</t>
  </si>
  <si>
    <t>Schöne Leiter</t>
  </si>
  <si>
    <t>Eine</t>
  </si>
  <si>
    <t>2025-03-18-ZDemo1-Z02-Installation-OnSite-pssSoftware</t>
  </si>
  <si>
    <t>2024-10-6857-100 012-UVV-Pruefung-Flurfoerderzeuge</t>
  </si>
  <si>
    <t>2024-10-Z22040201-Z003-UVV-Pruefung-Flurfoerderzeuge</t>
  </si>
  <si>
    <t>2024-10-Z10-Z10 001-STK-Wartung-Demogeraete</t>
  </si>
  <si>
    <t>2024-10-Z22040201-Z004-UVV-Pruefung-Flurfoerderzeuge</t>
  </si>
  <si>
    <t>2024-10-ZDemo1-Z05-STK-Demogeraete</t>
  </si>
  <si>
    <t>2024-10-Z08-Z08 01-STK-Wartung-Flurfoerderzeuge</t>
  </si>
  <si>
    <t>2024-10-Z22040201-Z002-UVV-Pruefung-Flurfoerderzeuge</t>
  </si>
  <si>
    <t>2024-11-Z01-Z01-UVV-Pruefung-Flurfoerderzeuge</t>
  </si>
  <si>
    <t>2024-11-ZDemo1-Z02-Wartung-pssSoftware</t>
  </si>
  <si>
    <t>2026-02-ZDemo4-ZDemo1-UVV-Pruefung-Demo</t>
  </si>
  <si>
    <t>Köllner Str. 94, 66292 Riegelsberg, D</t>
  </si>
  <si>
    <t xml:space="preserve">UVV-Prüfung </t>
  </si>
  <si>
    <t>Köllner Str. 94, D-66292 Riegelsberg</t>
  </si>
  <si>
    <t>2025-04-ZDemo1-Z02-Wartung-pssSoftware</t>
  </si>
  <si>
    <t>MyVersion</t>
  </si>
  <si>
    <t>2025-05-ZDemo1-Z01-UVV-Pruefung-Demo</t>
  </si>
  <si>
    <t>2025-05-ZDemo1-Z02-Wartung-pssSoftware</t>
  </si>
  <si>
    <t>2025-05-ZDemo2-Z01-UVV-Pruefung-Flurfoerderzeuge</t>
  </si>
  <si>
    <t>2025-05-Z06-Z06001-UVV-Pruefung-Leiter</t>
  </si>
  <si>
    <t>2025-05-10-02-UVV-Pruefung-Leiter</t>
  </si>
  <si>
    <t>2025-05-33475-90 450-UVV-Pruefung-Flurfoerderzeuge</t>
  </si>
  <si>
    <t>2025-05-33475-90 565-UVV-Pruefung-Flurfoerderzeuge</t>
  </si>
  <si>
    <t>2025-05-ZDemo6-ZDemo6 100 629-UVV-Pruefung-Flurfoerderzeuge</t>
  </si>
  <si>
    <t>2025-05-Y1-Y1-1-UVV-Pruefung-Flurfoerderzeuge</t>
  </si>
  <si>
    <t>Y1</t>
  </si>
  <si>
    <t>Testkunde 1</t>
  </si>
  <si>
    <t>Y1-1</t>
  </si>
  <si>
    <t>Gerät Y1-1</t>
  </si>
  <si>
    <t>2025-05-Y2-Y2-1-UVV-Pruefung-Flurfoerderzeuge</t>
  </si>
  <si>
    <t>Y2</t>
  </si>
  <si>
    <t>Testkunde 2</t>
  </si>
  <si>
    <t>Y2-1</t>
  </si>
  <si>
    <t>Gerät Y2-1</t>
  </si>
  <si>
    <t>2025-05-Y3-Y3-1-UVV-Pruefung-Flurfoerderzeuge</t>
  </si>
  <si>
    <t>Y3</t>
  </si>
  <si>
    <t>Testkunde 3</t>
  </si>
  <si>
    <t>Y3-1</t>
  </si>
  <si>
    <t>Gerät Y3-1</t>
  </si>
  <si>
    <t>2025-05-ZDemo3-Z01-UVV-Pruefung-Basispruefung-Fahrzeuge-allgemein</t>
  </si>
  <si>
    <t>2025-05-ZDemo3-Z02-UVV-Pruefung-Demo</t>
  </si>
  <si>
    <t>2025-05-6857-90 565-UVV-Pruefung-Flurfoerderzeuge</t>
  </si>
  <si>
    <t>2025-05-Z07-Z07 01-UVV-Pruefung-Basispruefung-Fahrzeuge-allgemein</t>
  </si>
  <si>
    <t>2025-05-Z01-Z01-UVV-Pruefung-Flurfoerderzeuge</t>
  </si>
  <si>
    <t>2025-05-ZLux1-Z01-UVV-Pruefung-Demo</t>
  </si>
  <si>
    <t>2025-05-Z2022040732330-Z02-UVV-Pruefung-Leiter</t>
  </si>
  <si>
    <t>2025-05-Z10-Z10 002-UVV-Pruefung-Leiter</t>
  </si>
  <si>
    <t>2025-05-Z01-Z1-03-UVV-Pruefung-Flurfoerderzeuge-Maulick</t>
  </si>
  <si>
    <t>Flurförderzeug (Maulick)</t>
  </si>
  <si>
    <t>2025-05-ZDemo8-pssService-Wartung-pssSoftware</t>
  </si>
  <si>
    <t>2025-06-2-221012 1355-STK-Flurfoerderzeuge</t>
  </si>
  <si>
    <t>Checklist according to DGUV V 68 / FEM 4.004 (formerly UVV or BGV)</t>
  </si>
  <si>
    <t>2025-06-ZDemo7-ZDemo7 100 629-UVV-Pruefung-Flurfoerderzeuge</t>
  </si>
  <si>
    <t>Industrial truck</t>
  </si>
  <si>
    <t>We eliminated any defects found. There are no objections to its use. You will receive the new inspection sticker.</t>
  </si>
  <si>
    <t>2025-06-ZDemo1-Z02-Wartung-pssSoftware</t>
  </si>
  <si>
    <t>2025-06-Z06-Z06001-UVV-Pruefung-Leiter</t>
  </si>
  <si>
    <t>2025-06-ZDemo3-Z01-UVV-Pruefung-Basispruefung-Fahrzeuge-allgemein</t>
  </si>
  <si>
    <t>2025-06-33475-90 450-UVV-Pruefung-Flurfoerderzeuge</t>
  </si>
  <si>
    <t>2025-06-Z22040201-Z002-UVV-Pruefung-Flurfoerderzeuge</t>
  </si>
  <si>
    <t>2025-06-ZDemo3-Z02-UVV-Pruefung-Demo</t>
  </si>
  <si>
    <t>2025-06-Z07-Z07 01-UVV-Pruefung-Basispruefung-Fahrzeuge-allgemein</t>
  </si>
  <si>
    <t>2025-06-pobvolde-Z01-UVV-Pruefung-Demo</t>
  </si>
  <si>
    <t>2025-06-ZLux1-Z01-UVV-Pruefung-Demo</t>
  </si>
  <si>
    <t>Pick-up service</t>
  </si>
  <si>
    <t>Checklist pick-up demo device v2</t>
  </si>
  <si>
    <t>2025-06-17-ZLux1-Z01-Abholung-Demogeraete</t>
  </si>
  <si>
    <t>2025-06-33422-90 450-UVV-Pruefung-Flurfoerderzeuge</t>
  </si>
  <si>
    <t>2025-06-ZDemo8-pssService-Wartung-pssSoftware</t>
  </si>
  <si>
    <t>2025-06-Z01-Z01-UVV-Pruefung-Flurfoerderzeuge</t>
  </si>
  <si>
    <t>2025-06-ZDemo1-Z01-STK-Wartung-Demogeraete</t>
  </si>
  <si>
    <t>2025-06-ZDemo1-Z03-UVV-Pruefung-Flurfoerderzeuge</t>
  </si>
  <si>
    <t>2025-07-Z22040201-Z002-UVV-Pruefung-Flurfoerderzeuge</t>
  </si>
  <si>
    <t>2025-07-2-221012 1355-UVV-Pruefung-Flurfoerderzeuge</t>
  </si>
  <si>
    <t>2025-07-ZLux1-Z01-UVV-Pruefung-Demo</t>
  </si>
  <si>
    <t>2025-07-01-ZLux1-Z01-Abholung-Demogeraete</t>
  </si>
  <si>
    <t>Kurzprüfliste nach DGUV V 68 / FEM 4.004</t>
  </si>
  <si>
    <t>2025-07-33475-100 012-UVV-Pruefung-Flurfoerderzeuge-kurz</t>
  </si>
  <si>
    <t>UVV-Pruefung-Flurfoerderzeuge-kurz</t>
  </si>
  <si>
    <t>2025-07-ZDemo1-Z02-Wartung-pssSoftware</t>
  </si>
  <si>
    <t>Checkliste STK/Wartung Fahrzeug v1</t>
  </si>
  <si>
    <t>2025-07-ZDemo1-Z03-STK-Wartung-Flurfoerderzeuge</t>
  </si>
  <si>
    <t>Safety-related control (STK)</t>
  </si>
  <si>
    <t>Checklist STK industrial truck v1</t>
  </si>
  <si>
    <t>2025-07-33422-100 677-01-STK-Flurfoerderzeuge</t>
  </si>
  <si>
    <t>2025-07-33422-90 450-UVV-Pruefung-Flurfoerderzeuge</t>
  </si>
  <si>
    <t>2025-07-04-ZDemo1-Z02-Installation-Remote-pssSoftware</t>
  </si>
  <si>
    <t>2025-07-33471-100 629-UVV-Pruefung-Flurfoerderzeuge</t>
  </si>
  <si>
    <t>2025-07-33471-100 677-01-UVV-Pruefung-Flurfoerderzeuge</t>
  </si>
  <si>
    <t>2025-07-6857-100 012-UVV-Pruefung-Flurfoerderzeuge</t>
  </si>
  <si>
    <t>2025-07-283-100 629-UVV-Pruefung-Flurfoerderzeuge-kurz</t>
  </si>
  <si>
    <t>2025-07-Z22040201-Z001-UVV-Pruefung-Leiter</t>
  </si>
  <si>
    <t>2025-07-11-ZDemo8-pssService-Installation-OnSite-pssSoftware</t>
  </si>
  <si>
    <t>2025-07-ZDemo8-pssService-Wartung-pssSoftware</t>
  </si>
  <si>
    <t>2025-07-11-ZDemo8-pssService-Installation-Remote-pssSoftware</t>
  </si>
  <si>
    <t>Wegen erheblichen Mängeln stehen einer Nutzung Bedenken entgegen!</t>
  </si>
  <si>
    <t>2025-07-ZDemo2-Z01-UVV-Pruefung-Flurfoerderzeuge-kurz</t>
  </si>
  <si>
    <t>2025-07-ZDemo3-Z01-STK-Wartung-Fahrzeuge</t>
  </si>
  <si>
    <t>Frau Baumann</t>
  </si>
  <si>
    <t>2025-07-ZDemo2-Z01-STK-Flurfoerderzeuge</t>
  </si>
  <si>
    <t>Wegen erheblichen Sicherheitsmängeln stehen einer Nutzung Bedenken entgegen! Sie erhalten daher keine Plakette.</t>
  </si>
  <si>
    <t>2025-07-Z22040201-Z02-UVV-Pruefung-Leiter</t>
  </si>
  <si>
    <t>2025-07-ZDemo2-Z01-STK-Wartung-Flurfoerderzeuge</t>
  </si>
  <si>
    <t>Reparatur in unserer Werkstatt</t>
  </si>
  <si>
    <t>Checkliste Reparatur Flurförderzeug v1</t>
  </si>
  <si>
    <t>2025-07-18-ZDemo2-Z01-Reparatur-Flurfoerderzeuge</t>
  </si>
  <si>
    <t>Aufstellung (Bringservice)</t>
  </si>
  <si>
    <t>Checkliste Aufstellung Demogerät v1</t>
  </si>
  <si>
    <t>2025-07-23-pobvolde-Z01-Aufstellung-Demogeraete</t>
  </si>
  <si>
    <t>2025-07-ZDemo1-Z05-STK-Wartung-Demogeraete</t>
  </si>
  <si>
    <t>2025-07-ZDemo1-Z03-UVV-Pruefung-Flurfoerderzeuge-kurz</t>
  </si>
  <si>
    <t>2025-07-ZDemo3-Z01-UVV-Pruefung-Basispruefung-Fahrzeuge-allgemein</t>
  </si>
  <si>
    <t>2025-07-pobvolde-Z01-UVV-Pruefung-Demo</t>
  </si>
  <si>
    <t>Wiederkehrende Prüfung von Steigleitern</t>
  </si>
  <si>
    <t>2025-07-10-02-UVV-Pruefung-Leiter</t>
  </si>
  <si>
    <t>Demo10 GmbH
Zentrallager
Abteilung A1</t>
  </si>
  <si>
    <t>2025-07-ZDemo3-Z02-STK-Wartung-Demogeraete</t>
  </si>
  <si>
    <t>2025-08-Z11-Z01-UVV-Pruefung-Demo</t>
  </si>
  <si>
    <t>Z11</t>
  </si>
  <si>
    <t>Demo11 GmbH
Zentrallager</t>
  </si>
  <si>
    <t>Herr Demo11</t>
  </si>
  <si>
    <t>Bosch</t>
  </si>
  <si>
    <t xml:space="preserve">Wartung (Remote) </t>
  </si>
  <si>
    <t>Wolfskaulstr. 84, 66292 Riegelsberg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</si>
  <si>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Erinnerung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font-size:11pt;'&gt;Wartung (Remote)&lt;/span&gt;&lt;/strong&gt;&lt;/td&gt;
&lt;/tr&gt;
&lt;tr&gt;
  &lt;td valign=top&gt;&lt;span lang=DE style='color:black; font-size:10pt;'&gt;Datum/Zeit:&lt;/span&gt;&lt;/td&gt;
  &lt;td valign=top&gt;&lt;strong&gt;&lt;span lang=DE style='color:black; font-size:11pt;'&gt;Dienstag, 15. Juli 2025 von 10:00 bis 11:00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font-size:11pt;'&gt;Demo1 GmbH, Riegelsberg (ZDemo1)&lt;/span&gt;&lt;/strong&gt;&lt;/td&gt;
&lt;/tr&gt;
&lt;tr&gt;
  &lt;td valign=top&gt;&lt;span lang=DE style='color:black; font-size:10pt;'&gt;Ansprechpartner:&lt;/span&gt;&lt;/td&gt;
  &lt;td valign=top&gt;&lt;strong&gt;&lt;span lang=DE style='color:black; font-size:11pt;'&gt;Produktionsabteilung&lt;/span&gt;&lt;/strong&gt;&lt;/td&gt;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href='tel:+49 123 456789-123'&gt;+49 123 456789-123&lt;/a&gt;&lt;/span&gt;&lt;/strong&gt;&lt;/td&gt;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font-size:11pt;'&gt;pobvol Service Solution (Z02), SN 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1;%20CName:Demo1%20GmbH;%20CContact:Produktionsabteilung;%20CStreet:Köllner%20Str.%2094;%20CZip:66292;%20CCity:Riegelsberg;%20CCountry:D;%20CPhone:+49%20123%20456789-123;%20CEMail:kontakt@pobvol.com;%20CLang:de;%20DNo:Z02;%20DType:pssSoftware;%20DManu:pobvol;%20DName:Service%20Solution;%20DYear:2025;%20DSNo:;%20DLoc:;%20
' target='_blank'&gt;Servicevorgang erfassen&lt;/a&gt;
  &lt;/span&gt;
&lt;/p&gt;
&lt;br&gt;
&lt;hr&gt;
&lt;h3&gt;
  &lt;a name='_An_UVV_inspection'&gt;&lt;/a&gt;
  &lt;span lang=EN-US style='mso-fareast-font-family:'Times New Roman';mso-ansi-language:EN-US;'&gt;
    Reminder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font-size:11pt;'&gt;Maintenance (Remote)&lt;/span&gt;&lt;/strong&gt;&lt;/td&gt;
&lt;/tr&gt;
&lt;tr&gt;
  &lt;td valign=top&gt;&lt;span lang=DE style='color:black; font-size:10pt;'&gt;Time:&lt;/span&gt;&lt;/td&gt;
  &lt;td valign=top&gt;&lt;strong&gt;&lt;span lang=DE style='color:black; font-size:11pt;'&gt;Tuesday July 15, 2025 from 10:00 AM to 11:00 AM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font-size:11pt;'&gt;Demo1 GmbH, Riegelsberg (ZDemo1)&lt;/span&gt;&lt;/strong&gt;&lt;/td&gt;
&lt;/tr&gt;
&lt;tr&gt;
  &lt;td valign=top&gt;&lt;span lang=EN style='color:black; font-size:10pt;'&gt;Contact&lt;/span&gt;&lt;/td&gt;
  &lt;td valign=top&gt;&lt;strong&gt;&lt;span lang=EN style='color:black; font-size:11pt;'&gt;Produktionsabteilung&lt;/span&gt;&lt;/strong&gt;&lt;/td&gt;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href='tel:+49 123 456789-123'&gt;+49 123 456789-123&lt;/a&gt;&lt;/span&gt;&lt;/strong&gt;&lt;/td&gt;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font-size:11pt;'&gt;pobvol Service Solution (Z02), SN 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1;%20CName:Demo1%20GmbH;%20CContact:Produktionsabteilung;%20CStreet:Köllner%20Str.%2094;%20CZip:66292;%20CCity:Riegelsberg;%20CCountry:D;%20CPhone:+49%20123%20456789-123;%20CEMail:kontakt@pobvol.com;%20CLang:de;%20DNo:Z02;%20DType:pssSoftware;%20DManu:pobvol;%20DName:Service%20Solution;%20DYear:2025;%20DSNo:;%20DLoc:;%20
' target='_blank'&gt;Record service case&lt;/a&gt;
  &lt;/span&gt;
&lt;/p&gt;</t>
  </si>
  <si>
    <t xml:space="preserve">pobvol Service Solution (Z02), SN </t>
  </si>
  <si>
    <t>TRUE</t>
  </si>
  <si>
    <t>2025-07-ZDemo1-Z01-Wartung-pssSoftware</t>
  </si>
  <si>
    <t>cabe247c-270c-4251-adde-ffea3c79e071</t>
  </si>
  <si>
    <t xml:space="preserve">STK/Wartung </t>
  </si>
  <si>
    <t>Volker;K. Test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</si>
  <si>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Erinnerung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font-size:11pt;'&gt;STK/Wartung&lt;/span&gt;&lt;/strong&gt;&lt;/td&gt;
&lt;/tr&gt;
&lt;tr&gt;
  &lt;td valign=top&gt;&lt;span lang=DE style='color:black; font-size:10pt;'&gt;Datum/Zeit:&lt;/span&gt;&lt;/td&gt;
  &lt;td valign=top&gt;&lt;strong&gt;&lt;span lang=DE style='color:black; font-size:11pt;'&gt;Montag, 21. Juli 2025 von 11:00 bis 12:30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font-size:11pt;'&gt;Demo1 GmbH, Riegelsberg (ZDemo1)&lt;/span&gt;&lt;/strong&gt;&lt;/td&gt;
&lt;/tr&gt;
&lt;tr&gt;
  &lt;td valign=top&gt;&lt;span lang=DE style='color:black; font-size:10pt;'&gt;Ansprechpartner:&lt;/span&gt;&lt;/td&gt;
  &lt;td valign=top&gt;&lt;strong&gt;&lt;span lang=DE style='color:black; font-size:11pt;'&gt;Produktionsabteilung&lt;/span&gt;&lt;/strong&gt;&lt;/td&gt;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href='tel:+49 123 456789-123'&gt;+49 123 456789-123&lt;/a&gt;&lt;/span&gt;&lt;/strong&gt;&lt;/td&gt;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font-size:11pt;'&gt;Demo Gerät (Z01), SN SNR:123-456-789-0&lt;br&gt;Demo Device (Z04), SN SNR&lt;br&gt;Demo Device2 (Z05), SN SNR1&lt;/span&gt;&lt;/strong&gt;&lt;/td&gt;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1;%20CName:Demo1%20GmbH;%20CContact:Produktionsabteilung;%20CStreet:Köllner%20Str.%2094;%20CZip:66292;%20CCity:Riegelsberg;%20CCountry:D;%20CPhone:+49%20123%20456789-123;%20CEMail:kontakt@pobvol.com;%20CLang:de;%20DNo:Z01;%20DType:Demogeraete;%20DManu:Demo;%20DName:Gerät;%20DYear:2024;%20DSNo:SNR:123-456-789-0;%20DLoc:Garage;%20
CNo:ZDemo1;%20CName:Demo1%20GmbH;%20CContact:Produktionsabteilung;%20CStreet:Köllner%20Str.%2094;%20CZip:66292;%20CCity:Riegelsberg;%20CCountry:D;%20CPhone:+49%20123%20456789-123;%20CEMail:kontakt@pobvol.com;%20CLang:de;%20DNo:Z04;%20DType:Demogeraete;%20DManu:Demo;%20DName:Device;%20DYear:2024;%20DSNo:SNR;%20DLoc:Garage%20auf%20dem%20Hof;%20
CNo:ZDemo1;%20CName:Demo1%20GmbH;%20CContact:Produktionsabteilung;%20CStreet:Köllner%20Str.%2094;%20CZip:66292;%20CCity:Riegelsberg;%20CCountry:D;%20CPhone:+49%20123%20456789-123;%20CEMail:kontakt@pobvol.com;%20CLang:de;%20DNo:Z05;%20DType:Demogeraete;%20DManu:Demo;%20DName:Device2;%20DYear:2024;%20DSNo:SNR1;%20DLoc:STANDORT1;%20
' target='_blank'&gt;Servicevorgang erfassen&lt;/a&gt;
  &lt;/span&gt;
&lt;/p&gt;
&lt;br&gt;
&lt;hr&gt;
&lt;h3&gt;
  &lt;a name='_An_UVV_inspection'&gt;&lt;/a&gt;
  &lt;span lang=EN-US style='mso-fareast-font-family:'Times New Roman';mso-ansi-language:EN-US;'&gt;
    Reminder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font-size:11pt;'&gt;STK/Maintenance&lt;/span&gt;&lt;/strong&gt;&lt;/td&gt;
&lt;/tr&gt;
&lt;tr&gt;
  &lt;td valign=top&gt;&lt;span lang=DE style='color:black; font-size:10pt;'&gt;Time:&lt;/span&gt;&lt;/td&gt;
  &lt;td valign=top&gt;&lt;strong&gt;&lt;span lang=DE style='color:black; font-size:11pt;'&gt;Monday July 21, 2025 from 11:00 AM to 12:30 PM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font-size:11pt;'&gt;Demo1 GmbH, Riegelsberg (ZDemo1)&lt;/span&gt;&lt;/strong&gt;&lt;/td&gt;
&lt;/tr&gt;
&lt;tr&gt;
  &lt;td valign=top&gt;&lt;span lang=EN style='color:black; font-size:10pt;'&gt;Contact&lt;/span&gt;&lt;/td&gt;
  &lt;td valign=top&gt;&lt;strong&gt;&lt;span lang=EN style='color:black; font-size:11pt;'&gt;Produktionsabteilung&lt;/span&gt;&lt;/strong&gt;&lt;/td&gt;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href='tel:+49 123 456789-123'&gt;+49 123 456789-123&lt;/a&gt;&lt;/span&gt;&lt;/strong&gt;&lt;/td&gt;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font-size:11pt;'&gt;Demo Gerät (Z01), SN SNR:123-456-789-0&lt;br&gt;Demo Device (Z04), SN SNR&lt;br&gt;Demo Device2 (Z05), SN SNR1&lt;/span&gt;&lt;/strong&gt;&lt;/td&gt;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1;%20CName:Demo1%20GmbH;%20CContact:Produktionsabteilung;%20CStreet:Köllner%20Str.%2094;%20CZip:66292;%20CCity:Riegelsberg;%20CCountry:D;%20CPhone:+49%20123%20456789-123;%20CEMail:kontakt@pobvol.com;%20CLang:de;%20DNo:Z01;%20DType:Demogeraete;%20DManu:Demo;%20DName:Gerät;%20DYear:2024;%20DSNo:SNR:123-456-789-0;%20DLoc:Garage;%20
CNo:ZDemo1;%20CName:Demo1%20GmbH;%20CContact:Produktionsabteilung;%20CStreet:Köllner%20Str.%2094;%20CZip:66292;%20CCity:Riegelsberg;%20CCountry:D;%20CPhone:+49%20123%20456789-123;%20CEMail:kontakt@pobvol.com;%20CLang:de;%20DNo:Z04;%20DType:Demogeraete;%20DManu:Demo;%20DName:Device;%20DYear:2024;%20DSNo:SNR;%20DLoc:Garage%20auf%20dem%20Hof;%20
CNo:ZDemo1;%20CName:Demo1%20GmbH;%20CContact:Produktionsabteilung;%20CStreet:Köllner%20Str.%2094;%20CZip:66292;%20CCity:Riegelsberg;%20CCountry:D;%20CPhone:+49%20123%20456789-123;%20CEMail:kontakt@pobvol.com;%20CLang:de;%20DNo:Z05;%20DType:Demogeraete;%20DManu:Demo;%20DName:Device2;%20DYear:2024;%20DSNo:SNR1;%20DLoc:STANDORT1;%20
' target='_blank'&gt;Record service case&lt;/a&gt;
  &lt;/span&gt;
&lt;/p&gt;</t>
  </si>
  <si>
    <t>Demo Gerät (Z01), SN SNR:123-456-789-0; Demo Device (Z04), SN SNR; Demo Device2 (Z05), SN SNR1</t>
  </si>
  <si>
    <t>2025-07-ZDemo1-Z01-STK-Wartung-Demogeraete</t>
  </si>
  <si>
    <t>9c10663f-b756-436c-a9e2-c7b7aa5980fb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</si>
  <si>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Erinnerung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font-size:11pt;'&gt;UVV-Prüfung&lt;/span&gt;&lt;/strong&gt;&lt;/td&gt;
&lt;/tr&gt;
&lt;tr&gt;
  &lt;td valign=top&gt;&lt;span lang=DE style='color:black; font-size:10pt;'&gt;Datum/Zeit:&lt;/span&gt;&lt;/td&gt;
  &lt;td valign=top&gt;&lt;strong&gt;&lt;span lang=DE style='color:black; font-size:11pt;'&gt;Montag, 21. Juli 2025 von 13:30 bis 14:00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font-size:11pt;'&gt;Demo1 GmbH, Riegelsberg (ZDemo1)&lt;/span&gt;&lt;/strong&gt;&lt;/td&gt;
&lt;/tr&gt;
&lt;tr&gt;
  &lt;td valign=top&gt;&lt;span lang=DE style='color:black; font-size:10pt;'&gt;Ansprechpartner:&lt;/span&gt;&lt;/td&gt;
  &lt;td valign=top&gt;&lt;strong&gt;&lt;span lang=DE style='color:black; font-size:11pt;'&gt;Produktionsabteilung&lt;/span&gt;&lt;/strong&gt;&lt;/td&gt;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href='tel:+49 123 456789-123'&gt;+49 123 456789-123&lt;/a&gt;&lt;/span&gt;&lt;/strong&gt;&lt;/td&gt;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font-size:11pt;'&gt;Demo Stapler (Z03), SN Seriennummer&lt;/span&gt;&lt;/strong&gt;&lt;/td&gt;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1;%20CName:Demo1%20GmbH;%20CContact:Produktionsabteilung;%20CStreet:Köllner%20Str.%2094;%20CZip:66292;%20CCity:Riegelsberg;%20CCountry:D;%20CPhone:+49%20123%20456789-123;%20CEMail:kontakt@pobvol.com;%20CLang:de;%20DNo:Z03;%20DType:Flurfoerderzeuge;%20DManu:Demo;%20DName:Stapler;%20DYear:2024;%20DSNo:Seriennummer;%20DLoc:Standort;%20
' target='_blank'&gt;Servicevorgang erfassen&lt;/a&gt;
  &lt;/span&gt;
&lt;/p&gt;
&lt;br&gt;
&lt;hr&gt;
&lt;h3&gt;
  &lt;a name='_An_UVV_inspection'&gt;&lt;/a&gt;
  &lt;span lang=EN-US style='mso-fareast-font-family:'Times New Roman';mso-ansi-language:EN-US;'&gt;
    Reminder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font-size:11pt;'&gt;UVV inspection&lt;/span&gt;&lt;/strong&gt;&lt;/td&gt;
&lt;/tr&gt;
&lt;tr&gt;
  &lt;td valign=top&gt;&lt;span lang=DE style='color:black; font-size:10pt;'&gt;Time:&lt;/span&gt;&lt;/td&gt;
  &lt;td valign=top&gt;&lt;strong&gt;&lt;span lang=DE style='color:black; font-size:11pt;'&gt;Monday July 21, 2025 from 01:30 PM to 02:00 PM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font-size:11pt;'&gt;Demo1 GmbH, Riegelsberg (ZDemo1)&lt;/span&gt;&lt;/strong&gt;&lt;/td&gt;
&lt;/tr&gt;
&lt;tr&gt;
  &lt;td valign=top&gt;&lt;span lang=EN style='color:black; font-size:10pt;'&gt;Contact&lt;/span&gt;&lt;/td&gt;
  &lt;td valign=top&gt;&lt;strong&gt;&lt;span lang=EN style='color:black; font-size:11pt;'&gt;Produktionsabteilung&lt;/span&gt;&lt;/strong&gt;&lt;/td&gt;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href='tel:+49 123 456789-123'&gt;+49 123 456789-123&lt;/a&gt;&lt;/span&gt;&lt;/strong&gt;&lt;/td&gt;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font-size:11pt;'&gt;Demo Stapler (Z03), SN Seriennummer&lt;/span&gt;&lt;/strong&gt;&lt;/td&gt;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1;%20CName:Demo1%20GmbH;%20CContact:Produktionsabteilung;%20CStreet:Köllner%20Str.%2094;%20CZip:66292;%20CCity:Riegelsberg;%20CCountry:D;%20CPhone:+49%20123%20456789-123;%20CEMail:kontakt@pobvol.com;%20CLang:de;%20DNo:Z03;%20DType:Flurfoerderzeuge;%20DManu:Demo;%20DName:Stapler;%20DYear:2024;%20DSNo:Seriennummer;%20DLoc:Standort;%20
' target='_blank'&gt;Record service case&lt;/a&gt;
  &lt;/span&gt;
&lt;/p&gt;</t>
  </si>
  <si>
    <t>Demo Stapler (Z03), SN Seriennummer</t>
  </si>
  <si>
    <t>2025-07-ZDemo1-Z01-UVV-Pruefung-Flurfoerderzeuge-kurz</t>
  </si>
  <si>
    <t>409aa968-d9f4-4f16-b7ce-52220912da17</t>
  </si>
  <si>
    <t>Demo Device2 (Z05), SN SNR1</t>
  </si>
  <si>
    <t>2026-07-ZDemo1-Z05-STK-Wartung-Demogeraete</t>
  </si>
  <si>
    <t>00238712-5f82-46f9-9ba1-93b98a53cb63</t>
  </si>
  <si>
    <t>2026-07-ZDemo1-Z03-UVV-Pruefung-Flurfoerderzeuge-kurz</t>
  </si>
  <si>
    <t>e59f429c-0fe0-4d62-b8b0-160df2467ddc</t>
  </si>
  <si>
    <t>Demo Gerät (Z01), SN 123-456-789-0</t>
  </si>
  <si>
    <t>2026-01-ZDemo1-Z01-STK-Wartung-Demogeraete</t>
  </si>
  <si>
    <t>2db2e952-7c6c-4816-890c-f7625e22f2cf</t>
  </si>
  <si>
    <t>pobvol pssService: STK/Wartung - Flurförderzeug (nicht abgestimmt)</t>
  </si>
  <si>
    <t>Demo Gerät (Z01), SN 23082701</t>
  </si>
  <si>
    <t>2026-07-ZDemo2-Z01-STK-Wartung-Flurfoerderzeuge</t>
  </si>
  <si>
    <t>45ea6d89-9536-400d-9ccc-f6d63394e985</t>
  </si>
  <si>
    <t xml:space="preserve">Reparatur in unserer Werkstatt </t>
  </si>
  <si>
    <t>b1a3fd87-c620-4d11-952e-8ae664285166</t>
  </si>
  <si>
    <t xml:space="preserve">Aufstellung (Bringservice) </t>
  </si>
  <si>
    <t>49.298128,6.931571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</si>
  <si>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Erinnerung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font-size:11pt;'&gt;Aufstellung (Bringservice)&lt;/span&gt;&lt;/strong&gt;&lt;/td&gt;
&lt;/tr&gt;
&lt;tr&gt;
  &lt;td valign=top&gt;&lt;span lang=DE style='color:black; font-size:10pt;'&gt;Datum/Zeit:&lt;/span&gt;&lt;/td&gt;
  &lt;td valign=top&gt;&lt;strong&gt;&lt;span lang=DE style='color:black; font-size:11pt;'&gt;Mittwoch, 23. Juli 2025 von 11:00 bis 13:00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font-size:11pt;'&gt;Volker&lt;/span&gt;&lt;/strong&gt;&lt;/td&gt;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font-size:11pt;'&gt;Volker Pobloth, Riegelsberg (pobvolde)&lt;/span&gt;&lt;/strong&gt;&lt;/td&gt;
&lt;/tr&gt;
&lt;tr&gt;
  &lt;td valign=top&gt;&lt;span lang=DE style='color:black; font-size:10pt;'&gt;Ansprechpartner:&lt;/span&gt;&lt;/td&gt;
  &lt;td valign=top&gt;&lt;strong&gt;&lt;span lang=DE style='color:black; font-size:11pt;'&gt;Herr Pobloth&lt;/span&gt;&lt;/strong&gt;&lt;/td&gt;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href='tel:0176123456789'&gt;0176123456789&lt;/a&gt;&lt;/span&gt;&lt;/strong&gt;&lt;/td&gt;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href='mailto:volker@pobvol.com?subject=UVV%20Pruefung'&gt;volker@pobvol.com&lt;/a&gt;&lt;/span&gt;&lt;/strong&gt;&lt;/td&gt;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font-size:11pt;'&gt;Demo Stapler (Z03), SN Seriennummer&lt;/span&gt;&lt;/strong&gt;&lt;/td&gt;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pobvolde;%20CName:Volker%20Pobloth;%20CContact:Herr%20Pobloth;%20CStreet:Wolfskaulstr.%2084;%20CZip:66292;%20CCity:Riegelsberg;%20CCountry:D;%20CPhone:0176123456789;%20CEMail:volker@pobvol.com;%20CLang:de;%20DNo:Z01;%20DType:Demogeraete;%20DManu:BMW;%20DName:Mini%20Basic;%20DYear:1996;%20DSNo:SNRZ01;%20DLoc:Garage%20links;%20
' target='_blank'&gt;Servicevorgang erfassen&lt;/a&gt;
  &lt;/span&gt;
&lt;/p&gt;
&lt;br&gt;
&lt;hr&gt;
&lt;h3&gt;
  &lt;a name='_An_UVV_inspection'&gt;&lt;/a&gt;
  &lt;span lang=EN-US style='mso-fareast-font-family:'Times New Roman';mso-ansi-language:EN-US;'&gt;
    Reminder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font-size:11pt;'&gt;Setup device (Delivery service)&lt;/span&gt;&lt;/strong&gt;&lt;/td&gt;
&lt;/tr&gt;
&lt;tr&gt;
  &lt;td valign=top&gt;&lt;span lang=DE style='color:black; font-size:10pt;'&gt;Time:&lt;/span&gt;&lt;/td&gt;
  &lt;td valign=top&gt;&lt;strong&gt;&lt;span lang=DE style='color:black; font-size:11pt;'&gt;Wednesday July 23, 2025 from 11:00 AM to 01:00 PM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font-size:11pt;'&gt;Volker&lt;/span&gt;&lt;/strong&gt;&lt;/td&gt;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font-size:11pt;'&gt;Volker Pobloth, Riegelsberg (pobvolde)&lt;/span&gt;&lt;/strong&gt;&lt;/td&gt;
&lt;/tr&gt;
&lt;tr&gt;
  &lt;td valign=top&gt;&lt;span lang=EN style='color:black; font-size:10pt;'&gt;Contact&lt;/span&gt;&lt;/td&gt;
  &lt;td valign=top&gt;&lt;strong&gt;&lt;span lang=EN style='color:black; font-size:11pt;'&gt;Herr Pobloth&lt;/span&gt;&lt;/strong&gt;&lt;/td&gt;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href='tel:0176123456789'&gt;0176123456789&lt;/a&gt;&lt;/span&gt;&lt;/strong&gt;&lt;/td&gt;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href='mailto:volker@pobvol.com?subject=UVV%20Pruefung'&gt;volker@pobvol.com&lt;/a&gt;&lt;/span&gt;&lt;/strong&gt;&lt;/td&gt;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font-size:11pt;'&gt;Demo Stapler (Z03), SN Seriennummer&lt;/span&gt;&lt;/strong&gt;&lt;/td&gt;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pobvolde;%20CName:Volker%20Pobloth;%20CContact:Herr%20Pobloth;%20CStreet:Wolfskaulstr.%2084;%20CZip:66292;%20CCity:Riegelsberg;%20CCountry:D;%20CPhone:0176123456789;%20CEMail:volker@pobvol.com;%20CLang:de;%20DNo:Z01;%20DType:Demogeraete;%20DManu:BMW;%20DName:Mini%20Basic;%20DYear:1996;%20DSNo:SNRZ01;%20DLoc:Garage%20links;%20
' target='_blank'&gt;Record service case&lt;/a&gt;
  &lt;/span&gt;
&lt;/p&gt;</t>
  </si>
  <si>
    <t>25f4b810-ec39-45a4-a400-66dfad831e43</t>
  </si>
  <si>
    <t>AAMkAGY1Mjg4NTcwLTNjZmItNGMxOC1hYTJlLTIyZDQyOGZjMmVjNABGAAAAAABxlnPX6Av6S4Hfrvh_FBtEBwD8BSD0VmosTrvVS--i6gwIAABapH0QAAD8BSD0VmosTrvVS--i6gwIAANtFYspAAA=</t>
  </si>
  <si>
    <t>3110b6c1-c76f-42e4-bf8a-cbdb68eecce1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</si>
  <si>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Erinnerung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font-size:11pt;'&gt;UVV-Prüfung&lt;/span&gt;&lt;/strong&gt;&lt;/td&gt;
&lt;/tr&gt;
&lt;tr&gt;
  &lt;td valign=top&gt;&lt;span lang=DE style='color:black; font-size:10pt;'&gt;Datum/Zeit:&lt;/span&gt;&lt;/td&gt;
  &lt;td valign=top&gt;&lt;strong&gt;&lt;span lang=DE style='color:black; font-size:11pt;'&gt;Donnerstag, 24. Juli 2025 von 13:00 bis 13:30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font-size:11pt;'&gt;Volker&lt;/span&gt;&lt;/strong&gt;&lt;/td&gt;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font-size:11pt;'&gt;Volker Pobloth, Riegelsberg (pobvolde)&lt;/span&gt;&lt;/strong&gt;&lt;/td&gt;
&lt;/tr&gt;
&lt;tr&gt;
  &lt;td valign=top&gt;&lt;span lang=DE style='color:black; font-size:10pt;'&gt;Ansprechpartner:&lt;/span&gt;&lt;/td&gt;
  &lt;td valign=top&gt;&lt;strong&gt;&lt;span lang=DE style='color:black; font-size:11pt;'&gt;Herr Pobloth&lt;/span&gt;&lt;/strong&gt;&lt;/td&gt;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href='tel:0176123456789'&gt;0176123456789&lt;/a&gt;&lt;/span&gt;&lt;/strong&gt;&lt;/td&gt;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href='mailto:volker@pobvol.com?subject=UVV%20Pruefung'&gt;volker@pobvol.com&lt;/a&gt;&lt;/span&gt;&lt;/strong&gt;&lt;/td&gt;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font-size:11pt;'&gt;BMW Mini Basic (Z01), SN SNRZ01&lt;/span&gt;&lt;/strong&gt;&lt;/td&gt;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pobvolde;%20CName:Volker%20Pobloth;%20CContact:Herr%20Pobloth;%20CStreet:Wolfskaulstr.%2084;%20CZip:66292;%20CCity:Riegelsberg;%20CCountry:D;%20CPhone:0176123456789;%20CEMail:volker@pobvol.com;%20CLang:de;%20DNo:Z01;%20DType:Demogeraete;%20DManu:BMW;%20DName:Mini%20Basic;%20DYear:1996;%20DSNo:SNRZ01;%20DLoc:Garage%20links;%20
' target='_blank'&gt;Servicevorgang erfassen&lt;/a&gt;
  &lt;/span&gt;
&lt;/p&gt;
&lt;br&gt;
&lt;hr&gt;
&lt;h3&gt;
  &lt;a name='_An_UVV_inspection'&gt;&lt;/a&gt;
  &lt;span lang=EN-US style='mso-fareast-font-family:'Times New Roman';mso-ansi-language:EN-US;'&gt;
    Reminder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font-size:11pt;'&gt;UVV inspection&lt;/span&gt;&lt;/strong&gt;&lt;/td&gt;
&lt;/tr&gt;
&lt;tr&gt;
  &lt;td valign=top&gt;&lt;span lang=DE style='color:black; font-size:10pt;'&gt;Time:&lt;/span&gt;&lt;/td&gt;
  &lt;td valign=top&gt;&lt;strong&gt;&lt;span lang=DE style='color:black; font-size:11pt;'&gt;Thursday July 24, 2025 from 01:00 PM to 01:30 PM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font-size:11pt;'&gt;Volker&lt;/span&gt;&lt;/strong&gt;&lt;/td&gt;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font-size:11pt;'&gt;Volker Pobloth, Riegelsberg (pobvolde)&lt;/span&gt;&lt;/strong&gt;&lt;/td&gt;
&lt;/tr&gt;
&lt;tr&gt;
  &lt;td valign=top&gt;&lt;span lang=EN style='color:black; font-size:10pt;'&gt;Contact&lt;/span&gt;&lt;/td&gt;
  &lt;td valign=top&gt;&lt;strong&gt;&lt;span lang=EN style='color:black; font-size:11pt;'&gt;Herr Pobloth&lt;/span&gt;&lt;/strong&gt;&lt;/td&gt;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href='tel:0176123456789'&gt;0176123456789&lt;/a&gt;&lt;/span&gt;&lt;/strong&gt;&lt;/td&gt;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href='mailto:volker@pobvol.com?subject=UVV%20Pruefung'&gt;volker@pobvol.com&lt;/a&gt;&lt;/span&gt;&lt;/strong&gt;&lt;/td&gt;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font-size:11pt;'&gt;BMW Mini Basic (Z01), SN SNRZ01&lt;/span&gt;&lt;/strong&gt;&lt;/td&gt;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pobvolde;%20CName:Volker%20Pobloth;%20CContact:Herr%20Pobloth;%20CStreet:Wolfskaulstr.%2084;%20CZip:66292;%20CCity:Riegelsberg;%20CCountry:D;%20CPhone:0176123456789;%20CEMail:volker@pobvol.com;%20CLang:de;%20DNo:Z01;%20DType:Demogeraete;%20DManu:BMW;%20DName:Mini%20Basic;%20DYear:1996;%20DSNo:SNRZ01;%20DLoc:Garage%20links;%20
' target='_blank'&gt;Record service case&lt;/a&gt;
  &lt;/span&gt;
&lt;/p&gt;</t>
  </si>
  <si>
    <t>BMW Mini Basic (Z01), SN SNRZ01</t>
  </si>
  <si>
    <t>702</t>
  </si>
  <si>
    <t>a8f2b911-45a7-4c95-9f88-7c84083d54de</t>
  </si>
  <si>
    <t>Demo Device (Z04), SN SN240721-1347</t>
  </si>
  <si>
    <t>2026-07-ZDemo1-Z04-UVV-Pruefung-Demo</t>
  </si>
  <si>
    <t>bff82062-8619-4ecb-ab1c-5e73d20e3c29</t>
  </si>
  <si>
    <t>Wolfskaulstr. 85, D-66292 Riegelsberg</t>
  </si>
  <si>
    <t>AAMkAGY1Mjg4NTcwLTNjZmItNGMxOC1hYTJlLTIyZDQyOGZjMmVjNABGAAAAAABxlnPX6Av6S4Hfrvh_FBtEBwD8BSD0VmosTrvVS--i6gwIAABapH0QAAD8BSD0VmosTrvVS--i6gwIAANtFYsqAAA=</t>
  </si>
  <si>
    <t>Eine Schöne Leiter (02), SN SNR-123</t>
  </si>
  <si>
    <t>250730-015</t>
  </si>
  <si>
    <t>e38e107f-a074-434b-83a7-162a32d2add2</t>
  </si>
  <si>
    <t xml:space="preserve">Wartung </t>
  </si>
  <si>
    <t>Carl-Zeiss-Str. 4, D-66740 Saarlouis</t>
  </si>
  <si>
    <t>49.342459,6.741652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</si>
  <si>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Erinnerung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font-size:11pt;'&gt;Wartung&lt;/span&gt;&lt;/strong&gt;&lt;/td&gt;
&lt;/tr&gt;
&lt;tr&gt;
  &lt;td valign=top&gt;&lt;span lang=DE style='color:black; font-size:10pt;'&gt;Datum/Zeit:&lt;/span&gt;&lt;/td&gt;
  &lt;td valign=top&gt;&lt;strong&gt;&lt;span lang=DE style='color:black; font-size:11pt;'&gt;Donnerstag, 24. Juli 2025 von 09:00 bis 09:30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font-size:11pt;'&gt;Volker&lt;/span&gt;&lt;/strong&gt;&lt;/td&gt;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font-size:11pt;'&gt;Demo3 GmbH, Saarlouis (ZDemo3)&lt;/span&gt;&lt;/strong&gt;&lt;/td&gt;
&lt;/tr&gt;
&lt;tr&gt;
  &lt;td valign=top&gt;&lt;span lang=DE style='color:black; font-size:10pt;'&gt;Ansprechpartner:&lt;/span&gt;&lt;/td&gt;
  &lt;td valign=top&gt;&lt;strong&gt;&lt;span lang=DE style='color:black; font-size:11pt;'&gt;Frau Baumann&lt;/span&gt;&lt;/strong&gt;&lt;/td&gt;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href='tel:Telefonnummer'&gt;Telefonnummer&lt;/a&gt;&lt;/span&gt;&lt;/strong&gt;&lt;/td&gt;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href='mailto:volker@pobvol.com?subject=UVV%20Pruefung'&gt;volker@pobvol.com&lt;/a&gt;&lt;/span&gt;&lt;/strong&gt;&lt;/td&gt;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font-size:11pt;'&gt;BMW Mini (Z01), SN SNR:12345-67890-11223&lt;/span&gt;&lt;/strong&gt;&lt;/td&gt;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3;%20CName:Demo3%20GmbH;%20CContact:Frau%20Baumann;%20CStreet:Carl-Zeiss-Str.%204;%20CZip:66740;%20CCity:Saarlouis;%20CCountry:D;%20CPhone:Telefonnummer;%20CEMail:volker@pobvol.com;%20CLang:de;%20DNo:Z01;%20DType:Fahrzeuge;%20DManu:BMW;%20DName:Mini;%20DYear:2013;%20DSNo:SNR:12345-67890-11223;%20DLoc:vor%20der%20linken%20Garage;%20
' target='_blank'&gt;Servicevorgang erfassen&lt;/a&gt;
  &lt;/span&gt;
&lt;/p&gt;
&lt;br&gt;
&lt;hr&gt;
&lt;h3&gt;
  &lt;a name='_An_UVV_inspection'&gt;&lt;/a&gt;
  &lt;span lang=EN-US style='mso-fareast-font-family:'Times New Roman';mso-ansi-language:EN-US;'&gt;
    Reminder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font-size:11pt;'&gt;Maintenance&lt;/span&gt;&lt;/strong&gt;&lt;/td&gt;
&lt;/tr&gt;
&lt;tr&gt;
  &lt;td valign=top&gt;&lt;span lang=DE style='color:black; font-size:10pt;'&gt;Time:&lt;/span&gt;&lt;/td&gt;
  &lt;td valign=top&gt;&lt;strong&gt;&lt;span lang=DE style='color:black; font-size:11pt;'&gt;Thursday July 24, 2025 from 09:00 AM to 09:30 AM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font-size:11pt;'&gt;Volker&lt;/span&gt;&lt;/strong&gt;&lt;/td&gt;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font-size:11pt;'&gt;Demo3 GmbH, Saarlouis (ZDemo3)&lt;/span&gt;&lt;/strong&gt;&lt;/td&gt;
&lt;/tr&gt;
&lt;tr&gt;
  &lt;td valign=top&gt;&lt;span lang=EN style='color:black; font-size:10pt;'&gt;Contact&lt;/span&gt;&lt;/td&gt;
  &lt;td valign=top&gt;&lt;strong&gt;&lt;span lang=EN style='color:black; font-size:11pt;'&gt;Frau Baumann&lt;/span&gt;&lt;/strong&gt;&lt;/td&gt;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href='tel:Telefonnummer'&gt;Telefonnummer&lt;/a&gt;&lt;/span&gt;&lt;/strong&gt;&lt;/td&gt;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href='mailto:volker@pobvol.com?subject=UVV%20Pruefung'&gt;volker@pobvol.com&lt;/a&gt;&lt;/span&gt;&lt;/strong&gt;&lt;/td&gt;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font-size:11pt;'&gt;BMW Mini (Z01), SN SNR:12345-67890-11223&lt;/span&gt;&lt;/strong&gt;&lt;/td&gt;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3;%20CName:Demo3%20GmbH;%20CContact:Frau%20Baumann;%20CStreet:Carl-Zeiss-Str.%204;%20CZip:66740;%20CCity:Saarlouis;%20CCountry:D;%20CPhone:Telefonnummer;%20CEMail:volker@pobvol.com;%20CLang:de;%20DNo:Z01;%20DType:Fahrzeuge;%20DManu:BMW;%20DName:Mini;%20DYear:2013;%20DSNo:SNR:12345-67890-11223;%20DLoc:vor%20der%20linken%20Garage;%20
' target='_blank'&gt;Record service case&lt;/a&gt;
  &lt;/span&gt;
&lt;/p&gt;</t>
  </si>
  <si>
    <t>BMW Mini (Z01), SN SNR:12345-67890-11223</t>
  </si>
  <si>
    <t>37155639-6063-45c3-bb30-daade74c18c7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</si>
  <si>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Erinnerung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font-size:11pt;'&gt;UVV-Prüfung&lt;/span&gt;&lt;/strong&gt;&lt;/td&gt;
&lt;/tr&gt;
&lt;tr&gt;
  &lt;td valign=top&gt;&lt;span lang=DE style='color:black; font-size:10pt;'&gt;Datum/Zeit:&lt;/span&gt;&lt;/td&gt;
  &lt;td valign=top&gt;&lt;strong&gt;&lt;span lang=DE style='color:black; font-size:11pt;'&gt;Donnerstag, 24. Juli 2025 von 09:00 bis 09:30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font-size:11pt;'&gt;Volker&lt;/span&gt;&lt;/strong&gt;&lt;/td&gt;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font-size:11pt;'&gt;Demo3 GmbH, Saarlouis (ZDemo3)&lt;/span&gt;&lt;/strong&gt;&lt;/td&gt;
&lt;/tr&gt;
&lt;tr&gt;
  &lt;td valign=top&gt;&lt;span lang=DE style='color:black; font-size:10pt;'&gt;Ansprechpartner:&lt;/span&gt;&lt;/td&gt;
  &lt;td valign=top&gt;&lt;strong&gt;&lt;span lang=DE style='color:black; font-size:11pt;'&gt;Frau Baumann&lt;/span&gt;&lt;/strong&gt;&lt;/td&gt;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href='tel:Telefonnummer'&gt;Telefonnummer&lt;/a&gt;&lt;/span&gt;&lt;/strong&gt;&lt;/td&gt;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href='mailto:volker@pobvol.com?subject=UVV%20Pruefung'&gt;volker@pobvol.com&lt;/a&gt;&lt;/span&gt;&lt;/strong&gt;&lt;/td&gt;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font-size:11pt;'&gt;BMW Mini (Z01), SN SNR:12345-67890-11223&lt;/span&gt;&lt;/strong&gt;&lt;/td&gt;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3;%20CName:Demo3%20GmbH;%20CContact:Frau%20Baumann;%20CStreet:Carl-Zeiss-Str.%204;%20CZip:66740;%20CCity:Saarlouis;%20CCountry:D;%20CPhone:Telefonnummer;%20CEMail:volker@pobvol.com;%20CLang:de;%20DNo:Z01;%20DType:Fahrzeuge;%20DManu:BMW;%20DName:Mini;%20DYear:2013;%20DSNo:SNR:12345-67890-11223;%20DLoc:vor%20der%20linken%20Garage;%20
' target='_blank'&gt;Servicevorgang erfassen&lt;/a&gt;
  &lt;/span&gt;
&lt;/p&gt;
&lt;br&gt;
&lt;hr&gt;
&lt;h3&gt;
  &lt;a name='_An_UVV_inspection'&gt;&lt;/a&gt;
  &lt;span lang=EN-US style='mso-fareast-font-family:'Times New Roman';mso-ansi-language:EN-US;'&gt;
    Reminder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font-size:11pt;'&gt;UVV inspection&lt;/span&gt;&lt;/strong&gt;&lt;/td&gt;
&lt;/tr&gt;
&lt;tr&gt;
  &lt;td valign=top&gt;&lt;span lang=DE style='color:black; font-size:10pt;'&gt;Time:&lt;/span&gt;&lt;/td&gt;
  &lt;td valign=top&gt;&lt;strong&gt;&lt;span lang=DE style='color:black; font-size:11pt;'&gt;Thursday July 24, 2025 from 09:00 AM to 09:30 AM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font-size:11pt;'&gt;Volker&lt;/span&gt;&lt;/strong&gt;&lt;/td&gt;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font-size:11pt;'&gt;Demo3 GmbH, Saarlouis (ZDemo3)&lt;/span&gt;&lt;/strong&gt;&lt;/td&gt;
&lt;/tr&gt;
&lt;tr&gt;
  &lt;td valign=top&gt;&lt;span lang=EN style='color:black; font-size:10pt;'&gt;Contact&lt;/span&gt;&lt;/td&gt;
  &lt;td valign=top&gt;&lt;strong&gt;&lt;span lang=EN style='color:black; font-size:11pt;'&gt;Frau Baumann&lt;/span&gt;&lt;/strong&gt;&lt;/td&gt;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href='tel:Telefonnummer'&gt;Telefonnummer&lt;/a&gt;&lt;/span&gt;&lt;/strong&gt;&lt;/td&gt;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href='mailto:volker@pobvol.com?subject=UVV%20Pruefung'&gt;volker@pobvol.com&lt;/a&gt;&lt;/span&gt;&lt;/strong&gt;&lt;/td&gt;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font-size:11pt;'&gt;BMW Mini (Z01), SN SNR:12345-67890-11223&lt;/span&gt;&lt;/strong&gt;&lt;/td&gt;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3;%20CName:Demo3%20GmbH;%20CContact:Frau%20Baumann;%20CStreet:Carl-Zeiss-Str.%204;%20CZip:66740;%20CCity:Saarlouis;%20CCountry:D;%20CPhone:Telefonnummer;%20CEMail:volker@pobvol.com;%20CLang:de;%20DNo:Z01;%20DType:Fahrzeuge;%20DManu:BMW;%20DName:Mini;%20DYear:2013;%20DSNo:SNR:12345-67890-11223;%20DLoc:vor%20der%20linken%20Garage;%20
' target='_blank'&gt;Record service case&lt;/a&gt;
  &lt;/span&gt;
&lt;/p&gt;</t>
  </si>
  <si>
    <t>3901f112-bae5-4dc2-8c29-c205d8e615a4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</si>
  <si>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Erinnerung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font-size:11pt;'&gt;STK/Wartung&lt;/span&gt;&lt;/strong&gt;&lt;/td&gt;
&lt;/tr&gt;
&lt;tr&gt;
  &lt;td valign=top&gt;&lt;span lang=DE style='color:black; font-size:10pt;'&gt;Datum/Zeit:&lt;/span&gt;&lt;/td&gt;
  &lt;td valign=top&gt;&lt;strong&gt;&lt;span lang=DE style='color:black; font-size:11pt;'&gt;Donnerstag, 24. Juli 2025 von 09:30 bis 10:00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font-size:11pt;'&gt;Volker&lt;/span&gt;&lt;/strong&gt;&lt;/td&gt;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font-size:11pt;'&gt;Demo3 GmbH, Saarlouis (ZDemo3)&lt;/span&gt;&lt;/strong&gt;&lt;/td&gt;
&lt;/tr&gt;
&lt;tr&gt;
  &lt;td valign=top&gt;&lt;span lang=DE style='color:black; font-size:10pt;'&gt;Ansprechpartner:&lt;/span&gt;&lt;/td&gt;
  &lt;td valign=top&gt;&lt;strong&gt;&lt;span lang=DE style='color:black; font-size:11pt;'&gt;Frau Baumann&lt;/span&gt;&lt;/strong&gt;&lt;/td&gt;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href='tel:Telefonnummer'&gt;Telefonnummer&lt;/a&gt;&lt;/span&gt;&lt;/strong&gt;&lt;/td&gt;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href='mailto:volker@pobvol.com?subject=UVV%20Pruefung'&gt;volker@pobvol.com&lt;/a&gt;&lt;/span&gt;&lt;/strong&gt;&lt;/td&gt;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font-size:11pt;'&gt;Merkur Spielomat X1-45/7 (Z02), SN 231225&lt;/span&gt;&lt;/strong&gt;&lt;/td&gt;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3;%20CName:Demo3%20GmbH;%20CContact:Frau%20Baumann;%20CStreet:Carl-Zeiss-Str.%204;%20CZip:66740;%20CCity:Saarlouis;%20CCountry:D;%20CPhone:Telefonnummer;%20CEMail:volker@pobvol.com;%20CLang:de;%20DNo:Z02;%20DType:Demogeraete;%20DManu:Merkur;%20DName:Spielomat%20X1-45/7;%20DYear:2022;%20DSNo:231225;%20DLoc:links%20im%20Hinterzimmer;%20
' target='_blank'&gt;Servicevorgang erfassen&lt;/a&gt;
  &lt;/span&gt;
&lt;/p&gt;
&lt;br&gt;
&lt;hr&gt;
&lt;h3&gt;
  &lt;a name='_An_UVV_inspection'&gt;&lt;/a&gt;
  &lt;span lang=EN-US style='mso-fareast-font-family:'Times New Roman';mso-ansi-language:EN-US;'&gt;
    Reminder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font-size:11pt;'&gt;STK/Maintenance&lt;/span&gt;&lt;/strong&gt;&lt;/td&gt;
&lt;/tr&gt;
&lt;tr&gt;
  &lt;td valign=top&gt;&lt;span lang=DE style='color:black; font-size:10pt;'&gt;Time:&lt;/span&gt;&lt;/td&gt;
  &lt;td valign=top&gt;&lt;strong&gt;&lt;span lang=DE style='color:black; font-size:11pt;'&gt;Thursday July 24, 2025 from 09:30 AM to 10:00 AM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font-size:11pt;'&gt;Volker&lt;/span&gt;&lt;/strong&gt;&lt;/td&gt;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font-size:11pt;'&gt;Demo3 GmbH, Saarlouis (ZDemo3)&lt;/span&gt;&lt;/strong&gt;&lt;/td&gt;
&lt;/tr&gt;
&lt;tr&gt;
  &lt;td valign=top&gt;&lt;span lang=EN style='color:black; font-size:10pt;'&gt;Contact&lt;/span&gt;&lt;/td&gt;
  &lt;td valign=top&gt;&lt;strong&gt;&lt;span lang=EN style='color:black; font-size:11pt;'&gt;Frau Baumann&lt;/span&gt;&lt;/strong&gt;&lt;/td&gt;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href='tel:Telefonnummer'&gt;Telefonnummer&lt;/a&gt;&lt;/span&gt;&lt;/strong&gt;&lt;/td&gt;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href='mailto:volker@pobvol.com?subject=UVV%20Pruefung'&gt;volker@pobvol.com&lt;/a&gt;&lt;/span&gt;&lt;/strong&gt;&lt;/td&gt;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font-size:11pt;'&gt;Merkur Spielomat X1-45/7 (Z02), SN 231225&lt;/span&gt;&lt;/strong&gt;&lt;/td&gt;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3;%20CName:Demo3%20GmbH;%20CContact:Frau%20Baumann;%20CStreet:Carl-Zeiss-Str.%204;%20CZip:66740;%20CCity:Saarlouis;%20CCountry:D;%20CPhone:Telefonnummer;%20CEMail:volker@pobvol.com;%20CLang:de;%20DNo:Z02;%20DType:Demogeraete;%20DManu:Merkur;%20DName:Spielomat%20X1-45/7;%20DYear:2022;%20DSNo:231225;%20DLoc:links%20im%20Hinterzimmer;%20
' target='_blank'&gt;Record service case&lt;/a&gt;
  &lt;/span&gt;
&lt;/p&gt;</t>
  </si>
  <si>
    <t>Merkur Spielomat X1-45/7 (Z02), SN 231225</t>
  </si>
  <si>
    <t>de229800-969a-42e5-b9ac-415015b73860</t>
  </si>
  <si>
    <t>Weidkamp 23, D-45355 Essen</t>
  </si>
  <si>
    <t>Demo Gerät1 (ZDemo1), SN 2#</t>
  </si>
  <si>
    <t>35c6f7e3-bb56-4063-aedd-7fc35bc5a207</t>
  </si>
  <si>
    <t>JH ETV Q 25 (ZDemo6 100 629), SN SNR1456</t>
  </si>
  <si>
    <t>2026-05-ZDemo6-ZDemo6 100 629-UVV-Pruefung-Flurfoerderzeuge</t>
  </si>
  <si>
    <t>aade4e9c-dfb0-41e3-8364-9c2e29f44039</t>
  </si>
  <si>
    <t>JH ETV Q 25 (ZDemo7 100 629), SN 27-08-2024-11-29</t>
  </si>
  <si>
    <t>2026-06-ZDemo7-ZDemo7 100 629-UVV-Pruefung-Flurfoerderzeuge</t>
  </si>
  <si>
    <t>902fbc36-ccd1-41ba-946c-be53fae4c7c3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</si>
  <si>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Erinnerung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font-size:11pt;'&gt;Wartung (Remote)&lt;/span&gt;&lt;/strong&gt;&lt;/td&gt;
&lt;/tr&gt;
&lt;tr&gt;
  &lt;td valign=top&gt;&lt;span lang=DE style='color:black; font-size:10pt;'&gt;Datum/Zeit:&lt;/span&gt;&lt;/td&gt;
  &lt;td valign=top&gt;&lt;strong&gt;&lt;span lang=DE style='color:black; font-size:11pt;'&gt;Donnerstag, 7. August 2025 von 14:00 bis 15:00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font-size:11pt;'&gt;Demo8, Riegelsberg (ZDemo8)&lt;/span&gt;&lt;/strong&gt;&lt;/td&gt;
&lt;/tr&gt;
&lt;tr&gt;
  &lt;td valign=top&gt;&lt;span lang=DE style='color:black; font-size:10pt;'&gt;Ansprechpartner:&lt;/span&gt;&lt;/td&gt;
  &lt;td valign=top&gt;&lt;strong&gt;&lt;span lang=DE style='color:black; font-size:11pt;'&gt;Herr Demo8&lt;/span&gt;&lt;/strong&gt;&lt;/td&gt;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href='tel:Telefon'&gt;Telefon&lt;/a&gt;&lt;/span&gt;&lt;/strong&gt;&lt;/td&gt;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href='mailto:pssService@pobvol.com?subject=UVV%20Pruefung'&gt;pssService@pobvol.com&lt;/a&gt;&lt;/span&gt;&lt;/strong&gt;&lt;/td&gt;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font-size:11pt;'&gt;pobvol Service Solution (pssService), SN 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8;%20CName:Demo8;%20CContact:Herr%20Demo8;%20CStreet:Wolfskaulstr.%2084;%20CZip:66292;%20CCity:Riegelsberg;%20CCountry:D;%20CPhone:Telefon;%20CEMail:pssService@pobvol.com;%20CLang:de;%20DNo:pssService;%20DType:pssSoftware;%20DManu:pobvol;%20DName:Service%20Solution;%20DYear:2025;%20DSNo:;%20DLoc:;%20
' target='_blank'&gt;Servicevorgang erfassen&lt;/a&gt;
  &lt;/span&gt;
&lt;/p&gt;
&lt;br&gt;
&lt;hr&gt;
&lt;h3&gt;
  &lt;a name='_An_UVV_inspection'&gt;&lt;/a&gt;
  &lt;span lang=EN-US style='mso-fareast-font-family:'Times New Roman';mso-ansi-language:EN-US;'&gt;
    Reminder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font-size:11pt;'&gt;Maintenance (Remote)&lt;/span&gt;&lt;/strong&gt;&lt;/td&gt;
&lt;/tr&gt;
&lt;tr&gt;
  &lt;td valign=top&gt;&lt;span lang=DE style='color:black; font-size:10pt;'&gt;Time:&lt;/span&gt;&lt;/td&gt;
  &lt;td valign=top&gt;&lt;strong&gt;&lt;span lang=DE style='color:black; font-size:11pt;'&gt;Thursday August 7, 2025 from 02:00 PM to 03:00 PM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font-size:11pt;'&gt;Demo8, Riegelsberg (ZDemo8)&lt;/span&gt;&lt;/strong&gt;&lt;/td&gt;
&lt;/tr&gt;
&lt;tr&gt;
  &lt;td valign=top&gt;&lt;span lang=EN style='color:black; font-size:10pt;'&gt;Contact&lt;/span&gt;&lt;/td&gt;
  &lt;td valign=top&gt;&lt;strong&gt;&lt;span lang=EN style='color:black; font-size:11pt;'&gt;Herr Demo8&lt;/span&gt;&lt;/strong&gt;&lt;/td&gt;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href='tel:Telefon'&gt;Telefon&lt;/a&gt;&lt;/span&gt;&lt;/strong&gt;&lt;/td&gt;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href='mailto:pssService@pobvol.com?subject=UVV%20Pruefung'&gt;pssService@pobvol.com&lt;/a&gt;&lt;/span&gt;&lt;/strong&gt;&lt;/td&gt;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font-size:11pt;'&gt;pobvol Service Solution (pssService), SN 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8;%20CName:Demo8;%20CContact:Herr%20Demo8;%20CStreet:Wolfskaulstr.%2084;%20CZip:66292;%20CCity:Riegelsberg;%20CCountry:D;%20CPhone:Telefon;%20CEMail:pssService@pobvol.com;%20CLang:de;%20DNo:pssService;%20DType:pssSoftware;%20DManu:pobvol;%20DName:Service%20Solution;%20DYear:2025;%20DSNo:;%20DLoc:;%20
' target='_blank'&gt;Record service case&lt;/a&gt;
  &lt;/span&gt;
&lt;/p&gt;</t>
  </si>
  <si>
    <t xml:space="preserve">pobvol Service Solution (pssService), SN </t>
  </si>
  <si>
    <t>2025-08-ZDemo8-pssService-Wartung-pssSoftware</t>
  </si>
  <si>
    <t>d7814c79-02a1-4698-a648-463d8a95262f</t>
  </si>
  <si>
    <t>pobvol pssService: UVV-Prüfung - Fahrzeug (nicht abgestimmt)</t>
  </si>
  <si>
    <t>2027-07-ZDemo3-Z01-UVV-Pruefung-Basispruefung-Fahrzeuge-allgemein</t>
  </si>
  <si>
    <t>3bc9dab8-8fcc-40a8-932b-a00f1132f160</t>
  </si>
  <si>
    <t>56c0cd21-b8fa-42d7-a76f-83da09499f1f</t>
  </si>
  <si>
    <t>20d822e6-151e-4b42-8e6a-c7bcda2f2010</t>
  </si>
  <si>
    <t>AAMkAGY1Mjg4NTcwLTNjZmItNGMxOC1hYTJlLTIyZDQyOGZjMmVjNABGAAAAAABxlnPX6Av6S4Hfrvh_FBtEBwD8BSD0VmosTrvVS--i6gwIAABapH0QAAD8BSD0VmosTrvVS--i6gwIAANr6-UmAAA=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</si>
  <si>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Ein Servicetermin wurde vereinbart.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font-size:11pt;'&gt;UVV-Prüfung&lt;/span&gt;&lt;/strong&gt;&lt;/td&gt;
&lt;/tr&gt;
&lt;tr&gt;
  &lt;td valign=top&gt;&lt;span lang=DE style='color:black; font-size:10pt;'&gt;Datum/Zeit:&lt;/span&gt;&lt;/td&gt;
  &lt;td valign=top&gt;&lt;strong&gt;&lt;span lang=DE style='color:black; font-size:11pt;'&gt;Donnerstag, 7. August 2025 von 10:00 bis 11:00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font-size:11pt;'&gt;Demo11 GmbH, Riegelsberg (Z11)&lt;/span&gt;&lt;/strong&gt;&lt;/td&gt;
&lt;/tr&gt;
&lt;tr&gt;
  &lt;td valign=top&gt;&lt;span lang=DE style='color:black; font-size:10pt;'&gt;Ansprechpartner:&lt;/span&gt;&lt;/td&gt;
  &lt;td valign=top&gt;&lt;strong&gt;&lt;span lang=DE style='color:black; font-size:11pt;'&gt;Herr Demo11&lt;/span&gt;&lt;/strong&gt;&lt;/td&gt;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href='tel:+49 176 1234567890'&gt;+49 176 1234567890&lt;/a&gt;&lt;/span&gt;&lt;/strong&gt;&lt;/td&gt;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font-size:11pt;'&gt;Bosch Rasenmäher (Z01), SN SNR12345-67890&lt;br&gt;Bosch Heckenschere (Z02), SN 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11;%20CName:Demo11%20GmbH
Zentrallager;%20CContact:Herr%20Demo11;%20CStreet:Wolfskaulstr.%2084;%20CZip:66292;%20CCity:Riegelsberg;%20CCountry:D;%20CPhone:+49%20176%201234567890;%20CEMail:kontakt@pobvol.com;%20CLang:de;%20DNo:Z01;%20DType:Demogeraete;%20DManu:Bosch;%20DName:Rasenmäher;%20DYear:2019;%20DSNo:SNR12345-67890;%20DLoc:Gartenhaus;%20
CNo:Z11;%20CName:Demo11%20GmbH
Zentrallager;%20CContact:Herr%20Demo11;%20CStreet:Wolfskaulstr.%2084;%20CZip:66292;%20CCity:Riegelsberg;%20CCountry:D;%20CPhone:+49%20176%201234567890;%20CEMail:kontakt@pobvol.com;%20CLang:de;%20DNo:Z02;%20DType:Demogeraete;%20DManu:Bosch;%20DName:Heckenschere;%20DYear:2019;%20DSNo:;%20DLoc:Keller;%20
' target='_blank'&gt;Servicevorgang erfassen&lt;/a&gt;
  &lt;/span&gt;
&lt;/p&gt;
&lt;br&gt;
&lt;hr&gt;
&lt;h3&gt;
  &lt;a name='_An_UVV_inspection'&gt;&lt;/a&gt;
  &lt;span lang=EN-US style='mso-fareast-font-family:'Times New Roman';mso-ansi-language:EN-US;'&gt;
    A service appointment has been arranged.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font-size:11pt;'&gt;UVV inspection&lt;/span&gt;&lt;/strong&gt;&lt;/td&gt;
&lt;/tr&gt;
&lt;tr&gt;
  &lt;td valign=top&gt;&lt;span lang=DE style='color:black; font-size:10pt;'&gt;Time:&lt;/span&gt;&lt;/td&gt;
  &lt;td valign=top&gt;&lt;strong&gt;&lt;span lang=DE style='color:black; font-size:11pt;'&gt;Thursday August 7, 2025 from 10:00 AM to 11:00 AM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font-size:11pt;'&gt;Demo11 GmbH, Riegelsberg (Z11)&lt;/span&gt;&lt;/strong&gt;&lt;/td&gt;
&lt;/tr&gt;
&lt;tr&gt;
  &lt;td valign=top&gt;&lt;span lang=EN style='color:black; font-size:10pt;'&gt;Contact&lt;/span&gt;&lt;/td&gt;
  &lt;td valign=top&gt;&lt;strong&gt;&lt;span lang=EN style='color:black; font-size:11pt;'&gt;Herr Demo11&lt;/span&gt;&lt;/strong&gt;&lt;/td&gt;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href='tel:+49 176 1234567890'&gt;+49 176 1234567890&lt;/a&gt;&lt;/span&gt;&lt;/strong&gt;&lt;/td&gt;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font-size:11pt;'&gt;Bosch Rasenmäher (Z01), SN SNR12345-67890&lt;br&gt;Bosch Heckenschere (Z02), SN 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11;%20CName:Demo11%20GmbH
Zentrallager;%20CContact:Herr%20Demo11;%20CStreet:Wolfskaulstr.%2084;%20CZip:66292;%20CCity:Riegelsberg;%20CCountry:D;%20CPhone:+49%20176%201234567890;%20CEMail:kontakt@pobvol.com;%20CLang:de;%20DNo:Z01;%20DType:Demogeraete;%20DManu:Bosch;%20DName:Rasenmäher;%20DYear:2019;%20DSNo:SNR12345-67890;%20DLoc:Gartenhaus;%20
CNo:Z11;%20CName:Demo11%20GmbH
Zentrallager;%20CContact:Herr%20Demo11;%20CStreet:Wolfskaulstr.%2084;%20CZip:66292;%20CCity:Riegelsberg;%20CCountry:D;%20CPhone:+49%20176%201234567890;%20CEMail:kontakt@pobvol.com;%20CLang:de;%20DNo:Z02;%20DType:Demogeraete;%20DManu:Bosch;%20DName:Heckenschere;%20DYear:2019;%20DSNo:;%20DLoc:Keller;%20
' target='_blank'&gt;Record service case&lt;/a&gt;
  &lt;/span&gt;
&lt;/p&gt;</t>
  </si>
  <si>
    <t xml:space="preserve">Bosch Rasenmäher (Z01), SN SNR12345-67890; Bosch Heckenschere (Z02), SN </t>
  </si>
  <si>
    <t>2507-123</t>
  </si>
  <si>
    <t>1b156835-1587-425d-880c-7ededce98e15</t>
  </si>
  <si>
    <t>Wiederkehrende Wartung der pssSoftware</t>
  </si>
  <si>
    <t>Checklist demo device</t>
  </si>
  <si>
    <t>2025-08-Z11-Z02-UVV-Pruefung-Demo</t>
  </si>
  <si>
    <t>Heckenschere</t>
  </si>
  <si>
    <t>We found a few small defects. There are no objections to its use. You will receive the new inspection sticker. However, marked defects should be eliminated promptly!</t>
  </si>
  <si>
    <t>2025-09-ZDemo1-Z02-Wartung-pssSoftware</t>
  </si>
  <si>
    <t>Advanced Rotak 36V-40-650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</si>
  <si>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Erinnerung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font-size:11pt;'&gt;Reparatur in unserer Werkstatt&lt;/span&gt;&lt;/strong&gt;&lt;/td&gt;
&lt;/tr&gt;
&lt;tr&gt;
  &lt;td valign=top&gt;&lt;span lang=DE style='color:black; font-size:10pt;'&gt;Datum/Zeit:&lt;/span&gt;&lt;/td&gt;
  &lt;td valign=top&gt;&lt;strong&gt;&lt;span lang=DE style='color:black; font-size:11pt;'&gt;Donnerstag, 4. September 2025 von 13:00 bis 14:00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font-size:11pt;'&gt;Demo1 GmbH, Riegelsberg (ZDemo1)&lt;/span&gt;&lt;/strong&gt;&lt;/td&gt;
&lt;/tr&gt;
&lt;tr&gt;
  &lt;td valign=top&gt;&lt;span lang=DE style='color:black; font-size:10pt;'&gt;Ansprechpartner:&lt;/span&gt;&lt;/td&gt;
  &lt;td valign=top&gt;&lt;strong&gt;&lt;span lang=DE style='color:black; font-size:11pt;'&gt;Produktionsabteilung&lt;/span&gt;&lt;/strong&gt;&lt;/td&gt;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href='tel:+49 123 456789-123'&gt;+49 123 456789-123&lt;/a&gt;&lt;/span&gt;&lt;/strong&gt;&lt;/td&gt;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font-size:11pt;'&gt;Demo Stapler (Z03), SN Seriennummer&lt;/span&gt;&lt;/strong&gt;&lt;/td&gt;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1;%20CName:Demo1%20GmbH;%20CContact:Produktionsabteilung;%20CStreet:Köllner%20Str.%2094;%20CZip:66292;%20CCity:Riegelsberg;%20CCountry:D;%20CPhone:+49%20123%20456789-123;%20CEMail:kontakt@pobvol.com;%20CLang:de;%20DNo:Z03;%20DType:Flurfoerderzeuge;%20DManu:Demo;%20DName:Stapler;%20DYear:2024;%20DSNo:Seriennummer;%20DLoc:Standort;%20
' target='_blank'&gt;Servicevorgang erfassen&lt;/a&gt;
  &lt;/span&gt;
&lt;/p&gt;
&lt;br&gt;
&lt;hr&gt;
&lt;h3&gt;
  &lt;a name='_An_UVV_inspection'&gt;&lt;/a&gt;
  &lt;span lang=EN-US style='mso-fareast-font-family:'Times New Roman';mso-ansi-language:EN-US;'&gt;
    Reminder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font-size:11pt;'&gt;Repair in our workshop&lt;/span&gt;&lt;/strong&gt;&lt;/td&gt;
&lt;/tr&gt;
&lt;tr&gt;
  &lt;td valign=top&gt;&lt;span lang=DE style='color:black; font-size:10pt;'&gt;Time:&lt;/span&gt;&lt;/td&gt;
  &lt;td valign=top&gt;&lt;strong&gt;&lt;span lang=DE style='color:black; font-size:11pt;'&gt;Thursday September 4, 2025 from 01:00 PM to 02:00 PM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font-size:11pt;'&gt;Demo1 GmbH, Riegelsberg (ZDemo1)&lt;/span&gt;&lt;/strong&gt;&lt;/td&gt;
&lt;/tr&gt;
&lt;tr&gt;
  &lt;td valign=top&gt;&lt;span lang=EN style='color:black; font-size:10pt;'&gt;Contact&lt;/span&gt;&lt;/td&gt;
  &lt;td valign=top&gt;&lt;strong&gt;&lt;span lang=EN style='color:black; font-size:11pt;'&gt;Produktionsabteilung&lt;/span&gt;&lt;/strong&gt;&lt;/td&gt;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href='tel:+49 123 456789-123'&gt;+49 123 456789-123&lt;/a&gt;&lt;/span&gt;&lt;/strong&gt;&lt;/td&gt;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font-size:11pt;'&gt;Demo Stapler (Z03), SN Seriennummer&lt;/span&gt;&lt;/strong&gt;&lt;/td&gt;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1;%20CName:Demo1%20GmbH;%20CContact:Produktionsabteilung;%20CStreet:Köllner%20Str.%2094;%20CZip:66292;%20CCity:Riegelsberg;%20CCountry:D;%20CPhone:+49%20123%20456789-123;%20CEMail:kontakt@pobvol.com;%20CLang:de;%20DNo:Z03;%20DType:Flurfoerderzeuge;%20DManu:Demo;%20DName:Stapler;%20DYear:2024;%20DSNo:Seriennummer;%20DLoc:Standort;%20
' target='_blank'&gt;Record service case&lt;/a&gt;
  &lt;/span&gt;
&lt;/p&gt;</t>
  </si>
  <si>
    <t>2025-09-04-ZDemo1-Z03-Reparatur-Flurfoerderzeuge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</si>
  <si>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Ein Servicetermin wurde vereinbart.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font-size:11pt;'&gt;Wartung (Remote)&lt;/span&gt;&lt;/strong&gt;&lt;/td&gt;
&lt;/tr&gt;
&lt;tr&gt;
  &lt;td valign=top&gt;&lt;span lang=DE style='color:black; font-size:10pt;'&gt;Datum/Zeit:&lt;/span&gt;&lt;/td&gt;
  &lt;td valign=top&gt;&lt;strong&gt;&lt;span lang=DE style='color:black; font-size:11pt;'&gt;Freitag, 5. September 2025 von 14:00 bis 15:00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font-size:11pt;'&gt;Demo1 GmbH, Riegelsberg (ZDemo1)&lt;/span&gt;&lt;/strong&gt;&lt;/td&gt;
&lt;/tr&gt;
&lt;tr&gt;
  &lt;td valign=top&gt;&lt;span lang=DE style='color:black; font-size:10pt;'&gt;Ansprechpartner:&lt;/span&gt;&lt;/td&gt;
  &lt;td valign=top&gt;&lt;strong&gt;&lt;span lang=DE style='color:black; font-size:11pt;'&gt;Produktionsabteilung&lt;/span&gt;&lt;/strong&gt;&lt;/td&gt;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href='tel:+49 123 456789-123'&gt;+49 123 456789-123&lt;/a&gt;&lt;/span&gt;&lt;/strong&gt;&lt;/td&gt;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font-size:11pt;'&gt;pobvol Service Solution (Z02), SN 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1;%20CName:Demo1%20GmbH;%20CContact:Produktionsabteilung;%20CStreet:Köllner%20Str.%2094;%20CZip:66292;%20CCity:Riegelsberg;%20CCountry:D;%20CPhone:+49%20123%20456789-123;%20CEMail:kontakt@pobvol.com;%20CLang:de;%20DNo:Z02;%20DType:pssSoftware;%20DManu:pobvol;%20DName:Service%20Solution;%20DYear:2025;%20DSNo:;%20DLoc:;%20
' target='_blank'&gt;Servicevorgang erfassen&lt;/a&gt;
  &lt;/span&gt;
&lt;/p&gt;
&lt;br&gt;
&lt;hr&gt;
&lt;h3&gt;
  &lt;a name='_An_UVV_inspection'&gt;&lt;/a&gt;
  &lt;span lang=EN-US style='mso-fareast-font-family:'Times New Roman';mso-ansi-language:EN-US;'&gt;
    A service appointment has been arranged.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font-size:11pt;'&gt;Maintenance (Remote)&lt;/span&gt;&lt;/strong&gt;&lt;/td&gt;
&lt;/tr&gt;
&lt;tr&gt;
  &lt;td valign=top&gt;&lt;span lang=DE style='color:black; font-size:10pt;'&gt;Time:&lt;/span&gt;&lt;/td&gt;
  &lt;td valign=top&gt;&lt;strong&gt;&lt;span lang=DE style='color:black; font-size:11pt;'&gt;Friday September 5, 2025 from 02:00 PM to 03:00 PM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font-size:11pt;'&gt;Demo1 GmbH, Riegelsberg (ZDemo1)&lt;/span&gt;&lt;/strong&gt;&lt;/td&gt;
&lt;/tr&gt;
&lt;tr&gt;
  &lt;td valign=top&gt;&lt;span lang=EN style='color:black; font-size:10pt;'&gt;Contact&lt;/span&gt;&lt;/td&gt;
  &lt;td valign=top&gt;&lt;strong&gt;&lt;span lang=EN style='color:black; font-size:11pt;'&gt;Produktionsabteilung&lt;/span&gt;&lt;/strong&gt;&lt;/td&gt;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href='tel:+49 123 456789-123'&gt;+49 123 456789-123&lt;/a&gt;&lt;/span&gt;&lt;/strong&gt;&lt;/td&gt;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font-size:11pt;'&gt;pobvol Service Solution (Z02), SN 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1;%20CName:Demo1%20GmbH;%20CContact:Produktionsabteilung;%20CStreet:Köllner%20Str.%2094;%20CZip:66292;%20CCity:Riegelsberg;%20CCountry:D;%20CPhone:+49%20123%20456789-123;%20CEMail:kontakt@pobvol.com;%20CLang:de;%20DNo:Z02;%20DType:pssSoftware;%20DManu:pobvol;%20DName:Service%20Solution;%20DYear:2025;%20DSNo:;%20DLoc:;%20
' target='_blank'&gt;Record service case&lt;/a&gt;
  &lt;/span&gt;
&lt;/p&gt;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</si>
  <si>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Ein Servicetermin wurde vereinbart.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font-size:11pt;'&gt;UVV-Prüfung&lt;/span&gt;&lt;/strong&gt;&lt;/td&gt;
&lt;/tr&gt;
&lt;tr&gt;
  &lt;td valign=top&gt;&lt;span lang=DE style='color:black; font-size:10pt;'&gt;Datum/Zeit:&lt;/span&gt;&lt;/td&gt;
  &lt;td valign=top&gt;&lt;strong&gt;&lt;span lang=DE style='color:black; font-size:11pt;'&gt;Montag, 8. September 2025 von 10:00 bis 10:30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font-size:11pt;'&gt;Demo10 GmbH, Riegelsberg (10)&lt;/span&gt;&lt;/strong&gt;&lt;/td&gt;
&lt;/tr&gt;
&lt;tr&gt;
  &lt;td valign=top&gt;&lt;span lang=DE style='color:black; font-size:10pt;'&gt;Ansprechpartner:&lt;/span&gt;&lt;/td&gt;
  &lt;td valign=top&gt;&lt;strong&gt;&lt;span lang=DE style='color:black; font-size:11pt;'&gt;Hr. Demo10&lt;/span&gt;&lt;/strong&gt;&lt;/td&gt;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href='tel:+176 1234567890123'&gt;+176 1234567890123&lt;/a&gt;&lt;/span&gt;&lt;/strong&gt;&lt;/td&gt;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font-size:11pt;'&gt;Eine Schöne Leiter (02), SN SNR-123&lt;/span&gt;&lt;/strong&gt;&lt;/td&gt;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10;%20CName:Demo10%20GmbH
Zentrallager
Abteilung%20A1;%20CContact:Hr.%20Demo10;%20CStreet:Wolfskaulstr.%2084;%20CZip:66292;%20CCity:Riegelsberg;%20CCountry:D;%20CPhone:+176%201234567890123;%20CEMail:kontakt@pobvol.com;%20CLang:de;%20DNo:02;%20DType:Leitern;%20DManu:Eine;%20DName:Schöne%20Leiter;%20DYear:2024;%20DSNo:SNR-123;%20DLoc:im%20Schuppen;%20
' target='_blank'&gt;Servicevorgang erfassen&lt;/a&gt;
  &lt;/span&gt;
&lt;/p&gt;
&lt;br&gt;
&lt;hr&gt;
&lt;h3&gt;
  &lt;a name='_An_UVV_inspection'&gt;&lt;/a&gt;
  &lt;span lang=EN-US style='mso-fareast-font-family:'Times New Roman';mso-ansi-language:EN-US;'&gt;
    A service appointment has been arranged.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font-size:11pt;'&gt;UVV inspection&lt;/span&gt;&lt;/strong&gt;&lt;/td&gt;
&lt;/tr&gt;
&lt;tr&gt;
  &lt;td valign=top&gt;&lt;span lang=DE style='color:black; font-size:10pt;'&gt;Time:&lt;/span&gt;&lt;/td&gt;
  &lt;td valign=top&gt;&lt;strong&gt;&lt;span lang=DE style='color:black; font-size:11pt;'&gt;Monday September 8, 2025 from 10:00 AM to 10:30 AM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font-size:11pt;'&gt;Demo10 GmbH, Riegelsberg (10)&lt;/span&gt;&lt;/strong&gt;&lt;/td&gt;
&lt;/tr&gt;
&lt;tr&gt;
  &lt;td valign=top&gt;&lt;span lang=EN style='color:black; font-size:10pt;'&gt;Contact&lt;/span&gt;&lt;/td&gt;
  &lt;td valign=top&gt;&lt;strong&gt;&lt;span lang=EN style='color:black; font-size:11pt;'&gt;Hr. Demo10&lt;/span&gt;&lt;/strong&gt;&lt;/td&gt;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href='tel:+176 1234567890123'&gt;+176 1234567890123&lt;/a&gt;&lt;/span&gt;&lt;/strong&gt;&lt;/td&gt;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font-size:11pt;'&gt;Eine Schöne Leiter (02), SN SNR-123&lt;/span&gt;&lt;/strong&gt;&lt;/td&gt;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10;%20CName:Demo10%20GmbH
Zentrallager
Abteilung%20A1;%20CContact:Hr.%20Demo10;%20CStreet:Wolfskaulstr.%2084;%20CZip:66292;%20CCity:Riegelsberg;%20CCountry:D;%20CPhone:+176%201234567890123;%20CEMail:kontakt@pobvol.com;%20CLang:de;%20DNo:02;%20DType:Leitern;%20DManu:Eine;%20DName:Schöne%20Leiter;%20DYear:2024;%20DSNo:SNR-123;%20DLoc:im%20Schuppen;%20
' target='_blank'&gt;Record service case&lt;/a&gt;
  &lt;/span&gt;
&lt;/p&gt;</t>
  </si>
  <si>
    <t>2025-09-10-02-UVV-Pruefung-Leiter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</si>
  <si>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Erinnerung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font-size:11pt;'&gt;STK/Wartung&lt;/span&gt;&lt;/strong&gt;&lt;/td&gt;
&lt;/tr&gt;
&lt;tr&gt;
  &lt;td valign=top&gt;&lt;span lang=DE style='color:black; font-size:10pt;'&gt;Datum/Zeit:&lt;/span&gt;&lt;/td&gt;
  &lt;td valign=top&gt;&lt;strong&gt;&lt;span lang=DE style='color:black; font-size:11pt;'&gt;Mittwoch, 3. September 2025 von 09:00 bis 09:30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font-size:11pt;'&gt;Demo3 GmbH, Saarlouis (ZDemo3)&lt;/span&gt;&lt;/strong&gt;&lt;/td&gt;
&lt;/tr&gt;
&lt;tr&gt;
  &lt;td valign=top&gt;&lt;span lang=DE style='color:black; font-size:10pt;'&gt;Ansprechpartner:&lt;/span&gt;&lt;/td&gt;
  &lt;td valign=top&gt;&lt;strong&gt;&lt;span lang=DE style='color:black; font-size:11pt;'&gt;Frau Baumann&lt;/span&gt;&lt;/strong&gt;&lt;/td&gt;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href='tel:Telefonnummer'&gt;Telefonnummer&lt;/a&gt;&lt;/span&gt;&lt;/strong&gt;&lt;/td&gt;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href='mailto:volker@pobvol.com?subject=UVV%20Pruefung'&gt;volker@pobvol.com&lt;/a&gt;&lt;/span&gt;&lt;/strong&gt;&lt;/td&gt;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font-size:11pt;'&gt;Merkur Spielomat X1-45/7 (Z02), SN 231225&lt;/span&gt;&lt;/strong&gt;&lt;/td&gt;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3;%20CName:Demo3%20GmbH;%20CContact:Frau%20Baumann;%20CStreet:Carl-Zeiss-Str.%204;%20CZip:66740;%20CCity:Saarlouis;%20CCountry:D;%20CPhone:Telefonnummer;%20CEMail:volker@pobvol.com;%20CLang:de;%20DNo:Z02;%20DType:Demogeraete;%20DManu:Merkur;%20DName:Spielomat%20X1-45/7;%20DYear:2022;%20DSNo:231225;%20DLoc:2nd%20room%20left;%20
' target='_blank'&gt;Servicevorgang erfassen&lt;/a&gt;
  &lt;/span&gt;
&lt;/p&gt;
&lt;br&gt;
&lt;hr&gt;
&lt;h3&gt;
  &lt;a name='_An_UVV_inspection'&gt;&lt;/a&gt;
  &lt;span lang=EN-US style='mso-fareast-font-family:'Times New Roman';mso-ansi-language:EN-US;'&gt;
    Reminder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font-size:11pt;'&gt;STK/Maintenance&lt;/span&gt;&lt;/strong&gt;&lt;/td&gt;
&lt;/tr&gt;
&lt;tr&gt;
  &lt;td valign=top&gt;&lt;span lang=DE style='color:black; font-size:10pt;'&gt;Time:&lt;/span&gt;&lt;/td&gt;
  &lt;td valign=top&gt;&lt;strong&gt;&lt;span lang=DE style='color:black; font-size:11pt;'&gt;Wednesday September 3, 2025 from 09:00 AM to 09:30 AM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font-size:11pt;'&gt;Demo3 GmbH, Saarlouis (ZDemo3)&lt;/span&gt;&lt;/strong&gt;&lt;/td&gt;
&lt;/tr&gt;
&lt;tr&gt;
  &lt;td valign=top&gt;&lt;span lang=EN style='color:black; font-size:10pt;'&gt;Contact&lt;/span&gt;&lt;/td&gt;
  &lt;td valign=top&gt;&lt;strong&gt;&lt;span lang=EN style='color:black; font-size:11pt;'&gt;Frau Baumann&lt;/span&gt;&lt;/strong&gt;&lt;/td&gt;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href='tel:Telefonnummer'&gt;Telefonnummer&lt;/a&gt;&lt;/span&gt;&lt;/strong&gt;&lt;/td&gt;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href='mailto:volker@pobvol.com?subject=UVV%20Pruefung'&gt;volker@pobvol.com&lt;/a&gt;&lt;/span&gt;&lt;/strong&gt;&lt;/td&gt;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font-size:11pt;'&gt;Merkur Spielomat X1-45/7 (Z02), SN 231225&lt;/span&gt;&lt;/strong&gt;&lt;/td&gt;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Demo3;%20CName:Demo3%20GmbH;%20CContact:Frau%20Baumann;%20CStreet:Carl-Zeiss-Str.%204;%20CZip:66740;%20CCity:Saarlouis;%20CCountry:D;%20CPhone:Telefonnummer;%20CEMail:volker@pobvol.com;%20CLang:de;%20DNo:Z02;%20DType:Demogeraete;%20DManu:Merkur;%20DName:Spielomat%20X1-45/7;%20DYear:2022;%20DSNo:231225;%20DLoc:2nd%20room%20left;%20
' target='_blank'&gt;Record service case&lt;/a&gt;
  &lt;/span&gt;
&lt;/p&gt;</t>
  </si>
  <si>
    <t>2025-09-ZDemo3-Z02-STK-Wartung-Demogeraete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</si>
  <si>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Erinnerung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font-size:11pt;'&gt;UVV-Prüfung&lt;/span&gt;&lt;/strong&gt;&lt;/td&gt;
&lt;/tr&gt;
&lt;tr&gt;
  &lt;td valign=top&gt;&lt;span lang=DE style='color:black; font-size:10pt;'&gt;Datum/Zeit:&lt;/span&gt;&lt;/td&gt;
  &lt;td valign=top&gt;&lt;strong&gt;&lt;span lang=DE style='color:black; font-size:11pt;'&gt;Dienstag, 2. September 2025 von 13:30 bis 14:00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font-size:11pt;'&gt;Volker Pobloth, Riegelsberg (pobvolde)&lt;/span&gt;&lt;/strong&gt;&lt;/td&gt;
&lt;/tr&gt;
&lt;tr&gt;
  &lt;td valign=top&gt;&lt;span lang=DE style='color:black; font-size:10pt;'&gt;Ansprechpartner:&lt;/span&gt;&lt;/td&gt;
  &lt;td valign=top&gt;&lt;strong&gt;&lt;span lang=DE style='color:black; font-size:11pt;'&gt;Herr Pobloth&lt;/span&gt;&lt;/strong&gt;&lt;/td&gt;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href='tel:0176123456789'&gt;0176123456789&lt;/a&gt;&lt;/span&gt;&lt;/strong&gt;&lt;/td&gt;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href='mailto:volker@pobvol.com?subject=UVV%20Pruefung'&gt;volker@pobvol.com&lt;/a&gt;&lt;/span&gt;&lt;/strong&gt;&lt;/td&gt;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font-size:11pt;'&gt;BMW Mini Basic (Z01), SN SNRZ01&lt;/span&gt;&lt;/strong&gt;&lt;/td&gt;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pobvolde;%20CName:Volker%20Pobloth;%20CContact:Herr%20Pobloth;%20CStreet:Wolfskaulstr.%2084;%20CZip:66292;%20CCity:Riegelsberg;%20CCountry:D;%20CPhone:0176123456789;%20CEMail:volker@pobvol.com;%20CLang:de;%20DNo:Z01;%20DType:Demogeraete;%20DManu:BMW;%20DName:Mini%20Basic;%20DYear:1996;%20DSNo:SNRZ01;%20DLoc:Garage%20links;%20
' target='_blank'&gt;Servicevorgang erfassen&lt;/a&gt;
  &lt;/span&gt;
&lt;/p&gt;
&lt;br&gt;
&lt;hr&gt;
&lt;h3&gt;
  &lt;a name='_An_UVV_inspection'&gt;&lt;/a&gt;
  &lt;span lang=EN-US style='mso-fareast-font-family:'Times New Roman';mso-ansi-language:EN-US;'&gt;
    Reminder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font-size:11pt;'&gt;UVV inspection&lt;/span&gt;&lt;/strong&gt;&lt;/td&gt;
&lt;/tr&gt;
&lt;tr&gt;
  &lt;td valign=top&gt;&lt;span lang=DE style='color:black; font-size:10pt;'&gt;Time:&lt;/span&gt;&lt;/td&gt;
  &lt;td valign=top&gt;&lt;strong&gt;&lt;span lang=DE style='color:black; font-size:11pt;'&gt;Tuesday September 2, 2025 from 01:30 PM to 02:00 PM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font-size:11pt;'&gt;Volker;K. Test&lt;/span&gt;&lt;/strong&gt;&lt;/td&gt;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font-size:11pt;'&gt;Volker Pobloth, Riegelsberg (pobvolde)&lt;/span&gt;&lt;/strong&gt;&lt;/td&gt;
&lt;/tr&gt;
&lt;tr&gt;
  &lt;td valign=top&gt;&lt;span lang=EN style='color:black; font-size:10pt;'&gt;Contact&lt;/span&gt;&lt;/td&gt;
  &lt;td valign=top&gt;&lt;strong&gt;&lt;span lang=EN style='color:black; font-size:11pt;'&gt;Herr Pobloth&lt;/span&gt;&lt;/strong&gt;&lt;/td&gt;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href='tel:0176123456789'&gt;0176123456789&lt;/a&gt;&lt;/span&gt;&lt;/strong&gt;&lt;/td&gt;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href='mailto:volker@pobvol.com?subject=UVV%20Pruefung'&gt;volker@pobvol.com&lt;/a&gt;&lt;/span&gt;&lt;/strong&gt;&lt;/td&gt;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font-size:11pt;'&gt;BMW Mini Basic (Z01), SN SNRZ01&lt;/span&gt;&lt;/strong&gt;&lt;/td&gt;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pobvolde;%20CName:Volker%20Pobloth;%20CContact:Herr%20Pobloth;%20CStreet:Wolfskaulstr.%2084;%20CZip:66292;%20CCity:Riegelsberg;%20CCountry:D;%20CPhone:0176123456789;%20CEMail:volker@pobvol.com;%20CLang:de;%20DNo:Z01;%20DType:Demogeraete;%20DManu:BMW;%20DName:Mini%20Basic;%20DYear:1996;%20DSNo:SNRZ01;%20DLoc:Garage%20links;%20
' target='_blank'&gt;Record service case&lt;/a&gt;
  &lt;/span&gt;
&lt;/p&gt;</t>
  </si>
  <si>
    <t>2025-09-pobvolde-Z01-UVV-Pruefung-Demo</t>
  </si>
  <si>
    <t>STK/Maintenance</t>
  </si>
  <si>
    <t>Wolfskaulstr. 86, D-66292 Riegelsberg</t>
  </si>
  <si>
    <t>AAMkAGY1Mjg4NTcwLTNjZmItNGMxOC1hYTJlLTIyZDQyOGZjMmVjNABGAAAAAABxlnPX6Av6S4Hfrvh_FBtEBwD8BSD0VmosTrvVS--i6gwIAABapH0QAAD8BSD0VmosTrvVS--i6gwIAAOGrwQqAAA=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</si>
  <si>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Ein Servicetermin wurde vereinbart.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font-size:11pt;'&gt;STK/Wartung&lt;/span&gt;&lt;/strong&gt;&lt;/td&gt;
&lt;/tr&gt;
&lt;tr&gt;
  &lt;td valign=top&gt;&lt;span lang=DE style='color:black; font-size:10pt;'&gt;Datum/Zeit:&lt;/span&gt;&lt;/td&gt;
  &lt;td valign=top&gt;&lt;strong&gt;&lt;span lang=DE style='color:black; font-size:11pt;'&gt;Montag, 15. September 2025 von 10:00 bis 11:00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font-size:11pt;'&gt;Demo11 GmbH, Riegelsberg (Z11)&lt;/span&gt;&lt;/strong&gt;&lt;/td&gt;
&lt;/tr&gt;
&lt;tr&gt;
  &lt;td valign=top&gt;&lt;span lang=DE style='color:black; font-size:10pt;'&gt;Ansprechpartner:&lt;/span&gt;&lt;/td&gt;
  &lt;td valign=top&gt;&lt;strong&gt;&lt;span lang=DE style='color:black; font-size:11pt;'&gt;Mr. Demo11&lt;/span&gt;&lt;/strong&gt;&lt;/td&gt;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href='tel:+49 176 1234567890'&gt;+49 176 1234567890&lt;/a&gt;&lt;/span&gt;&lt;/strong&gt;&lt;/td&gt;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font-size:11pt;'&gt;Bosch Advanced Rotak 36V-40-650 (Z01), SN SNR12345-67890&lt;br&gt;Bosch Hedge shears (Z02), SN 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11;%20CName:Demo11%20GmbH
Zentrallager;%20CContact:Mr.%20Demo11;%20CStreet:Wolfskaulstr.%2084;%20CZip:66292;%20CCity:Riegelsberg;%20CCountry:D;%20CPhone:+49%20176%201234567890;%20CEMail:kontakt@pobvol.com;%20CLang:en;%20DNo:Z01;%20DType:Demogeraete;%20DManu:Bosch;%20DName:Advanced%20Rotak%2036V-40-650;%20DYear:2019;%20DSNo:SNR12345-67890;%20DLoc:in%20the%20garden;%20
CNo:Z11;%20CName:Demo11%20GmbH
Zentrallager;%20CContact:Mr.%20Demo11;%20CStreet:Wolfskaulstr.%2084;%20CZip:66292;%20CCity:Riegelsberg;%20CCountry:D;%20CPhone:+49%20176%201234567890;%20CEMail:kontakt@pobvol.com;%20CLang:en;%20DNo:Z02;%20DType:Demogeraete;%20DManu:Bosch;%20DName:Hedge%20shears;%20DYear:2019;%20DSNo:;%20DLoc:Keller;%20
' target='_blank'&gt;Servicevorgang erfassen&lt;/a&gt;
  &lt;/span&gt;
&lt;/p&gt;
&lt;br&gt;
&lt;hr&gt;
&lt;h3&gt;
  &lt;a name='_An_UVV_inspection'&gt;&lt;/a&gt;
  &lt;span lang=EN-US style='mso-fareast-font-family:'Times New Roman';mso-ansi-language:EN-US;'&gt;
    A service appointment has been arranged.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font-size:11pt;'&gt;STK/Maintenance&lt;/span&gt;&lt;/strong&gt;&lt;/td&gt;
&lt;/tr&gt;
&lt;tr&gt;
  &lt;td valign=top&gt;&lt;span lang=DE style='color:black; font-size:10pt;'&gt;Time:&lt;/span&gt;&lt;/td&gt;
  &lt;td valign=top&gt;&lt;strong&gt;&lt;span lang=DE style='color:black; font-size:11pt;'&gt;Monday September 15, 2025 from 10:00 AM to 11:00 AM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font-size:11pt;'&gt;Demo11 GmbH, Riegelsberg (Z11)&lt;/span&gt;&lt;/strong&gt;&lt;/td&gt;
&lt;/tr&gt;
&lt;tr&gt;
  &lt;td valign=top&gt;&lt;span lang=EN style='color:black; font-size:10pt;'&gt;Contact&lt;/span&gt;&lt;/td&gt;
  &lt;td valign=top&gt;&lt;strong&gt;&lt;span lang=EN style='color:black; font-size:11pt;'&gt;Mr. Demo11&lt;/span&gt;&lt;/strong&gt;&lt;/td&gt;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href='tel:+49 176 1234567890'&gt;+49 176 1234567890&lt;/a&gt;&lt;/span&gt;&lt;/strong&gt;&lt;/td&gt;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font-size:11pt;'&gt;Bosch Advanced Rotak 36V-40-650 (Z01), SN SNR12345-67890&lt;br&gt;Bosch Hedge shears (Z02), SN 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11;%20CName:Demo11%20GmbH
Zentrallager;%20CContact:Mr.%20Demo11;%20CStreet:Wolfskaulstr.%2084;%20CZip:66292;%20CCity:Riegelsberg;%20CCountry:D;%20CPhone:+49%20176%201234567890;%20CEMail:kontakt@pobvol.com;%20CLang:en;%20DNo:Z01;%20DType:Demogeraete;%20DManu:Bosch;%20DName:Advanced%20Rotak%2036V-40-650;%20DYear:2019;%20DSNo:SNR12345-67890;%20DLoc:in%20the%20garden;%20
CNo:Z11;%20CName:Demo11%20GmbH
Zentrallager;%20CContact:Mr.%20Demo11;%20CStreet:Wolfskaulstr.%2084;%20CZip:66292;%20CCity:Riegelsberg;%20CCountry:D;%20CPhone:+49%20176%201234567890;%20CEMail:kontakt@pobvol.com;%20CLang:en;%20DNo:Z02;%20DType:Demogeraete;%20DManu:Bosch;%20DName:Hedge%20shears;%20DYear:2019;%20DSNo:;%20DLoc:Keller;%20
' target='_blank'&gt;Record service case&lt;/a&gt;
  &lt;/span&gt;
&lt;/p&gt;</t>
  </si>
  <si>
    <t xml:space="preserve">Bosch Advanced Rotak 36V-40-650 (Z01), SN SNR12345-67890; Bosch Hedge shears (Z02), SN </t>
  </si>
  <si>
    <t>4711-9-25</t>
  </si>
  <si>
    <t>Hr. Demo11</t>
  </si>
  <si>
    <t>2025-09-Z11-Z02-STK-Wartung-Demogeraete</t>
  </si>
  <si>
    <t>b06dceb4-cf21-4221-9e69-57dc0139040d</t>
  </si>
  <si>
    <t>pobvol pssService: Maintenance (Remote) - pssSoftware (nicht abgestimmt)</t>
  </si>
  <si>
    <t>2025-09-ZDemo8-pssService-Wartung-pssSoftware</t>
  </si>
  <si>
    <t>38934f4b-ec23-4881-a42e-77d83c3e69af</t>
  </si>
  <si>
    <t>pobvol pssService: Wartung (Remote) - pssSoftware (nicht abgestimmt)</t>
  </si>
  <si>
    <t>2025-10-ZDemo1-Z02-Wartung-pssSoftware</t>
  </si>
  <si>
    <t>becfeb0a-2ae2-4b6b-8fc4-7d460f70e539</t>
  </si>
  <si>
    <t xml:space="preserve">UVV inspection </t>
  </si>
  <si>
    <t xml:space="preserve">
&lt;p align=right&gt;
  &lt;span lang=EN style='text-align:right; font-size:10.0pt;'&gt;
    &lt;a href='#_An_UVV_inspection'&gt;English version below&lt;/a&gt; 
  &lt;/span&gt;
&lt;/p&gt;
&lt;h3&gt;
  &lt;span lang=DE style='mso-fareast-font-family:'Times New Roman';'&gt;
    Erinnerung
  &lt;/span&gt;
&lt;/h3&gt;
&lt;table border=0 cellspacing=0 cellpadding=0&gt;
&lt;tr&gt;
  &lt;td width=175 valign=top&gt;&lt;span lang=DE style='color:black; font-size:10pt;'&gt;Serviceart:&lt;/span&gt;&lt;/td&gt;
  &lt;td width=450 valign=top&gt;&lt;strong&gt;&lt;span lang=DE style='color:black; font-size:11pt;'&gt;UVV-Prüfung&lt;/span&gt;&lt;/strong&gt;&lt;/td&gt;
&lt;/tr&gt;
&lt;tr&gt;
  &lt;td valign=top&gt;&lt;span lang=DE style='color:black; font-size:10pt;'&gt;Datum/Zeit:&lt;/span&gt;&lt;/td&gt;
  &lt;td valign=top&gt;&lt;strong&gt;&lt;span lang=DE style='color:black; font-size:11pt;'&gt;Dienstag, 11. August 2026 von 00:05 bis 00:35 Uhr CET&lt;/span&gt;&lt;/strong&gt;&lt;/td&gt;
&lt;/tr&gt;
&lt;tr&gt;
  &lt;td valign=top&gt;&lt;span lang=DE style='color:black; font-size:10pt;'&gt;Techniker:&lt;/span&gt;&lt;/td&gt;
  &lt;td valign=top&gt;&lt;strong&gt;&lt;span lang=DE style='color:black; font-size:11pt;'&gt;&lt;/span&gt;&lt;/strong&gt;&lt;/td&gt;
&lt;/tr&gt;
&lt;tr&gt;
  &lt;td&gt;&amp;nbsp;&lt;/td&gt;
  &lt;td&gt;&amp;nbsp;&lt;/td&gt;
&lt;/tr&gt;
&lt;tr&gt;
  &lt;td valign=top&gt;&lt;span lang=DE style='color:black; font-size:10pt;'&gt;Auftraggeber:&lt;/span&gt;&lt;/td&gt;
  &lt;td valign=top&gt;&lt;strong&gt;&lt;span lang=DE style='color:black; font-size:11pt;'&gt;Demo11 GmbH, Riegelsberg (Z11)&lt;/span&gt;&lt;/strong&gt;&lt;/td&gt;
&lt;/tr&gt;
&lt;tr&gt;
  &lt;td valign=top&gt;&lt;span lang=DE style='color:black; font-size:10pt;'&gt;Ansprechpartner:&lt;/span&gt;&lt;/td&gt;
  &lt;td valign=top&gt;&lt;strong&gt;&lt;span lang=DE style='color:black; font-size:11pt;'&gt;Mr. Demo11&lt;/span&gt;&lt;/strong&gt;&lt;/td&gt;
&lt;/tr&gt;
&lt;tr&gt;
  &lt;td valign=top&gt;&lt;span lang=DE style='color:black; font-size:10pt;'&gt;Telefon:&lt;/span&gt;&lt;/td&gt;
  &lt;td valign=top&gt;&lt;strong&gt;&lt;span lang=DE style='color:black; font-size:11pt;'&gt;&lt;a href='tel:+49 176 1234567890'&gt;+49 176 1234567890&lt;/a&gt;&lt;/span&gt;&lt;/strong&gt;&lt;/td&gt;
&lt;/tr&gt;
&lt;tr&gt;
  &lt;td valign=top&gt;&lt;span lang=DE style='color:black; font-size:10pt;'&gt;E-Mail:&lt;/span&gt;&lt;/td&gt;
  &lt;td valign=top&gt;&lt;strong&gt;&lt;span lang=DE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lang=DE style='color:black; font-size:10pt;'&gt;Inventar:&lt;/span&gt;&lt;/td&gt;
  &lt;td valign=top&gt;&lt;strong&gt;&lt;span lang=DE style='color:black; font-size:11pt;'&gt;Bosch Hedge shears (Z02), SN 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11;%20CName:Demo11%20GmbH
Zentrallager;%20CContact:Mr.%20Demo11;%20CStreet:Wolfskaulstr.%2084;%20CZip:66292;%20CCity:Riegelsberg;%20CCountry:D;%20CPhone:+49%20176%201234567890;%20CEMail:kontakt@pobvol.com;%20CLang:en;%20DNo:Z02;%20DType:Demogeraete;%20DManu:Bosch;%20DName:Hedge%20shears;%20DYear:2019;%20DSNo:;%20DLoc:Keller;%20
' target='_blank'&gt;Servicevorgang erfassen&lt;/a&gt;
  &lt;/span&gt;
&lt;/p&gt;
&lt;br&gt;
&lt;hr&gt;
&lt;h3&gt;
  &lt;a name='_An_UVV_inspection'&gt;&lt;/a&gt;
  &lt;span lang=EN-US style='mso-fareast-font-family:'Times New Roman';mso-ansi-language:EN-US;'&gt;
    Reminder
  &lt;/span&gt;
&lt;/h3&gt;
&lt;table border=0 cellspacing=0 cellpadding=0&gt;
&lt;tr&gt;
  &lt;td width=175 valign=top&gt;&lt;span lang=DE style='color:black; font-size:10pt;'&gt;Service type:&lt;/span&gt;&lt;/td&gt;
  &lt;td width=450 valign=top&gt;&lt;strong&gt;&lt;span lang=DE style='color:black; font-size:11pt;'&gt;UVV inspection&lt;/span&gt;&lt;/strong&gt;&lt;/td&gt;
&lt;/tr&gt;
&lt;tr&gt;
  &lt;td valign=top&gt;&lt;span lang=DE style='color:black; font-size:10pt;'&gt;Time:&lt;/span&gt;&lt;/td&gt;
  &lt;td valign=top&gt;&lt;strong&gt;&lt;span lang=DE style='color:black; font-size:11pt;'&gt;Tuesday August 11, 2026 from 12:05 AM to 12:35 AM CET&lt;/span&gt;&lt;/strong&gt;&lt;/td&gt;
&lt;/tr&gt;
&lt;tr&gt;
  &lt;td valign=top&gt;&lt;span lang=DE style='color:black; font-size:10pt;'&gt;Technician(s):&lt;/span&gt;&lt;/td&gt;
  &lt;td valign=top&gt;&lt;strong&gt;&lt;span lang=DE style='color:black; font-size:11pt;'&gt;&lt;/span&gt;&lt;/strong&gt;&lt;/td&gt;
&lt;/tr&gt;
&lt;tr&gt;
  &lt;td&gt;&amp;nbsp;&lt;/td&gt;
  &lt;td&gt;&amp;nbsp;&lt;/td&gt;
&lt;/tr&gt;
&lt;tr&gt;
  &lt;td valign=top&gt;&lt;span lang=EN style='color:black; font-size:10pt;'&gt;Customer:&lt;/span&gt;&lt;/td&gt;
  &lt;td valign=top&gt;&lt;strong&gt;&lt;span lang=EN style='color:black; font-size:11pt;'&gt;Demo11 GmbH, Riegelsberg (Z11)&lt;/span&gt;&lt;/strong&gt;&lt;/td&gt;
&lt;/tr&gt;
&lt;tr&gt;
  &lt;td valign=top&gt;&lt;span lang=EN style='color:black; font-size:10pt;'&gt;Contact&lt;/span&gt;&lt;/td&gt;
  &lt;td valign=top&gt;&lt;strong&gt;&lt;span lang=EN style='color:black; font-size:11pt;'&gt;Mr. Demo11&lt;/span&gt;&lt;/strong&gt;&lt;/td&gt;
&lt;/tr&gt;
&lt;tr&gt;
  &lt;td valign=top&gt;&lt;span lang=EN style='color:black; font-size:10pt;'&gt;Phone:&lt;/span&gt;&lt;/td&gt;
  &lt;td valign=top&gt;&lt;strong&gt;&lt;span lang=EN style='color:black; font-size:11pt;'&gt;&lt;a href='tel:+49 176 1234567890'&gt;+49 176 1234567890&lt;/a&gt;&lt;/span&gt;&lt;/strong&gt;&lt;/td&gt;
&lt;/tr&gt;
&lt;tr&gt;
  &lt;td valign=top&gt;&lt;span lang=EN style='color:black; font-size:10pt;'&gt;Email:&lt;/span&gt;&lt;/td&gt;
  &lt;td valign=top&gt;&lt;strong&gt;&lt;span lang=EN style='color:black; font-size:11pt;'&gt;&lt;a href='mailto:kontakt@pobvol.com?subject=UVV%20Pruefung'&gt;kontakt@pobvol.com&lt;/a&gt;&lt;/span&gt;&lt;/strong&gt;&lt;/td&gt;
&lt;/tr&gt;
&lt;tr&gt;
  &lt;td&gt;&amp;nbsp;&lt;/td&gt;
  &lt;td&gt;&amp;nbsp;&lt;/td&gt;
&lt;/tr&gt;
&lt;tr&gt;
  &lt;td valign=top&gt;&lt;span lang=EN style='color:black; font-size:10pt;'&gt;Inventory:&lt;/span&gt;&lt;/td&gt;
  &lt;td valign=top&gt;&lt;strong&gt;&lt;span lang=EN style='color:black; font-size:11pt;'&gt;Bosch Hedge shears (Z02), SN &lt;/span&gt;&lt;/strong&gt;&lt;/td&gt;
&lt;/tr&gt;
&lt;/table&gt;
&lt;p&gt;
  &lt;span lang=DE style='color:black; font-size:12pt;'&gt;
    &lt;a href='https://apps.powerapps.com/play/e/default-f80835e9-2a00-46e8-b120-985403297bb0/a/14ed0510-c336-4d86-90ee-11df89ca98bc?tenantId=f80835e9-2a00-46e8-b120-985403297bb0&amp;hint=9cae377b-1c1e-4d58-abe6-5f8c2b5778fc&amp;sourcetime=1698135523174&amp;amp;Code=CNo:Z11;%20CName:Demo11%20GmbH
Zentrallager;%20CContact:Mr.%20Demo11;%20CStreet:Wolfskaulstr.%2084;%20CZip:66292;%20CCity:Riegelsberg;%20CCountry:D;%20CPhone:+49%20176%201234567890;%20CEMail:kontakt@pobvol.com;%20CLang:en;%20DNo:Z02;%20DType:Demogeraete;%20DManu:Bosch;%20DName:Hedge%20shears;%20DYear:2019;%20DSNo:;%20DLoc:Keller;%20
' target='_blank'&gt;Record service case&lt;/a&gt;
  &lt;/span&gt;
&lt;/p&gt;</t>
  </si>
  <si>
    <t xml:space="preserve">Bosch Hedge shears (Z02), SN </t>
  </si>
  <si>
    <t>2026-08-Z11-Z01-UVV-Pruefung-Demo</t>
  </si>
  <si>
    <t>b94e82eb-4a4a-4bcc-980e-8937064a02ab</t>
  </si>
  <si>
    <t>Legend:
OK = sticker assigned
not OK = sticker not assigned</t>
  </si>
  <si>
    <t>Year</t>
  </si>
  <si>
    <t>Month</t>
  </si>
  <si>
    <t>Customer</t>
  </si>
  <si>
    <t>Device type</t>
  </si>
  <si>
    <t>Manufacturer</t>
  </si>
  <si>
    <t xml:space="preserve"> Badge</t>
  </si>
  <si>
    <t>Yes</t>
  </si>
  <si>
    <t>No</t>
  </si>
  <si>
    <t>Technician</t>
  </si>
  <si>
    <t>Start time</t>
  </si>
  <si>
    <t>End time</t>
  </si>
  <si>
    <t>assigned</t>
  </si>
  <si>
    <t>not assigned</t>
  </si>
  <si>
    <t>Badge</t>
  </si>
  <si>
    <t>Service reports per year</t>
  </si>
  <si>
    <t>Number</t>
  </si>
  <si>
    <t>Badge assigned?</t>
  </si>
  <si>
    <t>Service reports per year and technician</t>
  </si>
  <si>
    <t>Year / technician</t>
  </si>
  <si>
    <t xml:space="preserve">Service reports approved </t>
  </si>
  <si>
    <t>Year / Month</t>
  </si>
  <si>
    <t>approved</t>
  </si>
  <si>
    <t>Service reports sent to customer</t>
  </si>
  <si>
    <t>sent</t>
  </si>
  <si>
    <t>not sent</t>
  </si>
  <si>
    <t>Open service orders &amp; reminders</t>
  </si>
  <si>
    <t>8</t>
  </si>
  <si>
    <t>9</t>
  </si>
  <si>
    <t>pobvol pssService</t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</si>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</sst>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\X"/>
    <numFmt numFmtId="165" formatCode="0;[Red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2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 indent="1"/>
    </xf>
    <xf numFmtId="0" fontId="1" fillId="0" borderId="0" xfId="0" applyFont="1"/>
    <xf numFmtId="22" fontId="2" fillId="0" borderId="0" xfId="0" applyNumberFormat="1" applyFont="1" applyAlignment="1">
      <alignment horizontal="center" vertical="top"/>
    </xf>
    <xf numFmtId="0" fontId="3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pivotButton="1" applyAlignment="1">
      <alignment horizontal="left"/>
    </xf>
    <xf numFmtId="1" fontId="0" fillId="0" borderId="0" xfId="0" applyNumberFormat="1" applyAlignment="1">
      <alignment horizontal="left"/>
    </xf>
    <xf numFmtId="22" fontId="1" fillId="0" borderId="0" xfId="0" applyNumberFormat="1" applyFont="1" applyAlignment="1">
      <alignment vertical="top" wrapText="1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6" fillId="0" borderId="0" xfId="0" pivotButton="1" applyFont="1" applyAlignment="1">
      <alignment horizontal="left"/>
    </xf>
    <xf numFmtId="0" fontId="5" fillId="0" borderId="0" xfId="0" pivotButton="1" applyFont="1" applyAlignment="1">
      <alignment horizontal="left"/>
    </xf>
    <xf numFmtId="0" fontId="6" fillId="0" borderId="0" xfId="0" applyFont="1" applyAlignment="1">
      <alignment vertical="top" wrapText="1"/>
    </xf>
    <xf numFmtId="0" fontId="5" fillId="0" borderId="0" xfId="0" pivotButton="1" applyFont="1"/>
    <xf numFmtId="0" fontId="5" fillId="2" borderId="0" xfId="0" applyFont="1" applyFill="1"/>
    <xf numFmtId="0" fontId="0" fillId="2" borderId="0" xfId="0" applyFill="1"/>
    <xf numFmtId="22" fontId="1" fillId="0" borderId="0" xfId="0" applyNumberFormat="1" applyFont="1" applyAlignment="1">
      <alignment vertical="top"/>
    </xf>
    <xf numFmtId="0" fontId="3" fillId="2" borderId="0" xfId="0" applyFont="1" applyFill="1" applyAlignment="1">
      <alignment vertical="top"/>
    </xf>
    <xf numFmtId="22" fontId="1" fillId="2" borderId="0" xfId="0" applyNumberFormat="1" applyFont="1" applyFill="1" applyAlignment="1">
      <alignment vertical="top"/>
    </xf>
    <xf numFmtId="0" fontId="0" fillId="0" borderId="0" xfId="0" pivotButton="1" applyAlignment="1">
      <alignment wrapText="1"/>
    </xf>
    <xf numFmtId="22" fontId="0" fillId="0" borderId="0" xfId="0" applyNumberFormat="1" applyAlignment="1">
      <alignment horizontal="left"/>
    </xf>
    <xf numFmtId="20" fontId="0" fillId="0" borderId="0" xfId="0" applyNumberFormat="1" applyAlignment="1">
      <alignment horizontal="left"/>
    </xf>
    <xf numFmtId="165" fontId="0" fillId="0" borderId="0" xfId="0" applyNumberFormat="1" applyAlignment="1">
      <alignment horizontal="left" indent="1"/>
    </xf>
    <xf numFmtId="1" fontId="0" fillId="0" borderId="0" xfId="0" applyNumberFormat="1"/>
    <xf numFmtId="14" fontId="0" fillId="0" borderId="0" xfId="0" applyNumberFormat="1"/>
    <xf numFmtId="0" fontId="9" fillId="0" borderId="0" xfId="0" applyFont="1" applyAlignment="1">
      <alignment horizontal="right" wrapText="1"/>
    </xf>
    <xf numFmtId="22" fontId="1" fillId="0" borderId="0" xfId="0" applyNumberFormat="1" applyFont="1" applyAlignment="1">
      <alignment horizontal="left" vertical="top" wrapText="1"/>
    </xf>
    <xf numFmtId="0" fontId="1" fillId="0" borderId="0" xfId="0" applyFont="1" applyAlignment="1">
      <alignment horizontal="right" vertical="center" wrapText="1"/>
    </xf>
    <xf numFmtId="0" fontId="1" fillId="0" borderId="0" xfId="0" applyFont="1" applyAlignment="1">
      <alignment horizontal="right" vertical="center"/>
    </xf>
    <xf numFmtId="0" fontId="0" fillId="0" borderId="0" xfId="0" applyNumberFormat="1"/>
  </cellXfs>
  <cellStyles count="1">
    <cellStyle name="Normal" xfId="0" builtinId="0"/>
  </cellStyles>
  <dxfs count="60">
    <dxf>
      <numFmt numFmtId="1" formatCode="0"/>
    </dxf>
    <dxf>
      <numFmt numFmtId="1" formatCode="0"/>
    </dxf>
    <dxf>
      <numFmt numFmtId="19" formatCode="dd/mm/yyyy"/>
    </dxf>
    <dxf>
      <numFmt numFmtId="0" formatCode="General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left"/>
    </dxf>
    <dxf>
      <alignment wrapText="1"/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ill>
        <patternFill patternType="solid">
          <fgColor theme="9" tint="0.79998168889431442"/>
          <bgColor theme="9" tint="0.79998168889431442"/>
        </patternFill>
      </fill>
    </dxf>
    <dxf>
      <fill>
        <patternFill patternType="solid">
          <fgColor theme="9" tint="0.79998168889431442"/>
          <bgColor theme="9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9" tint="0.79998168889431442"/>
          <bgColor theme="9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9" tint="0.59999389629810485"/>
          <bgColor theme="9" tint="0.59999389629810485"/>
        </patternFill>
      </fill>
    </dxf>
    <dxf>
      <font>
        <b/>
        <color theme="1"/>
      </font>
      <border>
        <left style="medium">
          <color theme="9" tint="0.59999389629810485"/>
        </left>
        <right style="medium">
          <color theme="9" tint="0.59999389629810485"/>
        </right>
        <top style="medium">
          <color theme="9" tint="0.59999389629810485"/>
        </top>
        <bottom style="medium">
          <color theme="9" tint="0.59999389629810485"/>
        </bottom>
      </border>
    </dxf>
    <dxf>
      <border>
        <left style="thin">
          <color theme="9" tint="0.39997558519241921"/>
        </left>
        <right style="thin">
          <color theme="9" tint="0.39997558519241921"/>
        </right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top style="thin">
          <color theme="9" tint="-0.249977111117893"/>
        </top>
        <bottom style="medium">
          <color theme="9" tint="-0.249977111117893"/>
        </bottom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top style="medium">
          <color theme="9" tint="-0.249977111117893"/>
        </top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9" tint="0.79998168889431442"/>
          <bgColor theme="9" tint="0.79998168889431442"/>
        </patternFill>
      </fill>
    </dxf>
    <dxf>
      <fill>
        <patternFill patternType="solid">
          <fgColor theme="9" tint="0.79998168889431442"/>
          <bgColor theme="9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9" tint="0.79998168889431442"/>
          <bgColor theme="9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9" tint="0.59999389629810485"/>
          <bgColor theme="9" tint="0.59999389629810485"/>
        </patternFill>
      </fill>
    </dxf>
    <dxf>
      <font>
        <b/>
        <color theme="1"/>
      </font>
      <border>
        <left style="medium">
          <color theme="9" tint="0.59999389629810485"/>
        </left>
        <right style="medium">
          <color theme="9" tint="0.59999389629810485"/>
        </right>
        <top style="medium">
          <color theme="9" tint="0.59999389629810485"/>
        </top>
        <bottom style="medium">
          <color theme="9" tint="0.59999389629810485"/>
        </bottom>
      </border>
    </dxf>
    <dxf>
      <border>
        <left style="thin">
          <color theme="9" tint="0.39997558519241921"/>
        </left>
        <right style="thin">
          <color theme="9" tint="0.39997558519241921"/>
        </right>
        <vertical/>
        <horizontal style="hair">
          <color theme="9" tint="0.39994506668294322"/>
        </horizontal>
      </border>
    </dxf>
    <dxf>
      <border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  <dxf>
      <font>
        <b/>
        <color theme="1"/>
      </font>
      <border>
        <top style="thin">
          <color theme="9" tint="-0.249977111117893"/>
        </top>
        <bottom style="medium">
          <color theme="9" tint="-0.249977111117893"/>
        </bottom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top style="medium">
          <color theme="9" tint="-0.249977111117893"/>
        </top>
      </border>
    </dxf>
    <dxf>
      <font>
        <color theme="1"/>
      </font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 style="hair">
          <color theme="1"/>
        </vertical>
        <horizontal style="hair">
          <color theme="1"/>
        </horizontal>
      </border>
    </dxf>
  </dxfs>
  <tableStyles count="2" defaultTableStyle="TableStyleMedium2" defaultPivotStyle="MyStyle">
    <tableStyle name="MyPivorTableFormat" table="0" count="12" xr9:uid="{51458FD7-A311-4E4F-BC8D-995D92438EE2}">
      <tableStyleElement type="wholeTable" dxfId="59"/>
      <tableStyleElement type="headerRow" dxfId="58"/>
      <tableStyleElement type="totalRow" dxfId="57"/>
      <tableStyleElement type="firstRowStripe" dxfId="56"/>
      <tableStyleElement type="firstColumnStripe" dxfId="55"/>
      <tableStyleElement type="firstSubtotalColumn" dxfId="54"/>
      <tableStyleElement type="firstSubtotalRow" dxfId="53"/>
      <tableStyleElement type="secondSubtotalRow" dxfId="52"/>
      <tableStyleElement type="firstRowSubheading" dxfId="51"/>
      <tableStyleElement type="secondRowSubheading" dxfId="50"/>
      <tableStyleElement type="pageFieldLabels" dxfId="49"/>
      <tableStyleElement type="pageFieldValues" dxfId="48"/>
    </tableStyle>
    <tableStyle name="MyStyle" table="0" count="12" xr9:uid="{2BFF60CD-D308-411B-BAFA-C9EE1C9A0BD0}">
      <tableStyleElement type="wholeTable" dxfId="47"/>
      <tableStyleElement type="headerRow" dxfId="46"/>
      <tableStyleElement type="totalRow" dxfId="45"/>
      <tableStyleElement type="firstRowStripe" dxfId="44"/>
      <tableStyleElement type="firstColumnStripe" dxfId="43"/>
      <tableStyleElement type="firstSubtotalColumn" dxfId="42"/>
      <tableStyleElement type="firstSubtotalRow" dxfId="41"/>
      <tableStyleElement type="secondSubtotalRow" dxfId="40"/>
      <tableStyleElement type="firstRowSubheading" dxfId="39"/>
      <tableStyleElement type="secondRowSubheading" dxfId="38"/>
      <tableStyleElement type="pageFieldLabels" dxfId="37"/>
      <tableStyleElement type="pageFieldValues" dxfId="3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[pssService-Dashboard.xlsm]PivotTables!PivotTable1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Service reports per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softEdge">
            <a:bevelT w="114300" prst="artDeco"/>
            <a:bevelB w="114300" prst="artDeco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softEdge"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softEdge"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6995551472189462E-2"/>
          <c:y val="0.25632633722545933"/>
          <c:w val="0.9660088970556211"/>
          <c:h val="0.563233304328414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PivotTables!$B$7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freezing" dir="t"/>
            </a:scene3d>
            <a:sp3d prstMaterial="softEdge"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PivotTables!$A$8:$A$12</c:f>
              <c:strCach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strCache>
            </c:strRef>
          </c:cat>
          <c:val>
            <c:numRef>
              <c:f>PivotTables!$B$8:$B$12</c:f>
              <c:numCache>
                <c:formatCode>General</c:formatCode>
                <c:ptCount val="5"/>
                <c:pt idx="0">
                  <c:v>2</c:v>
                </c:pt>
                <c:pt idx="1">
                  <c:v>163</c:v>
                </c:pt>
                <c:pt idx="2">
                  <c:v>211</c:v>
                </c:pt>
                <c:pt idx="3">
                  <c:v>93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43-4F0D-91B5-52B5BF56E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74573896"/>
        <c:axId val="874577176"/>
      </c:barChart>
      <c:catAx>
        <c:axId val="87457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4577176"/>
        <c:crosses val="autoZero"/>
        <c:auto val="1"/>
        <c:lblAlgn val="ctr"/>
        <c:lblOffset val="100"/>
        <c:noMultiLvlLbl val="0"/>
      </c:catAx>
      <c:valAx>
        <c:axId val="87457717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7457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[pssService-Dashboard.xlsm]PivotTables!PivotTable3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Service reports per year and technician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PivotTables!$H$7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freezing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PivotTables!$G$8:$G$23</c:f>
              <c:multiLvlStrCache>
                <c:ptCount val="11"/>
                <c:lvl>
                  <c:pt idx="0">
                    <c:v>Volker</c:v>
                  </c:pt>
                  <c:pt idx="1">
                    <c:v>Dirk K (Gast)</c:v>
                  </c:pt>
                  <c:pt idx="2">
                    <c:v>Jürgen</c:v>
                  </c:pt>
                  <c:pt idx="3">
                    <c:v>Sascha</c:v>
                  </c:pt>
                  <c:pt idx="4">
                    <c:v>Volker</c:v>
                  </c:pt>
                  <c:pt idx="5">
                    <c:v>Volker P (Gast)</c:v>
                  </c:pt>
                  <c:pt idx="6">
                    <c:v>Volker</c:v>
                  </c:pt>
                  <c:pt idx="7">
                    <c:v>Jürgen</c:v>
                  </c:pt>
                  <c:pt idx="8">
                    <c:v>Nobby</c:v>
                  </c:pt>
                  <c:pt idx="9">
                    <c:v>Volker</c:v>
                  </c:pt>
                  <c:pt idx="10">
                    <c:v>Volker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  <c:pt idx="6">
                    <c:v>2023</c:v>
                  </c:pt>
                  <c:pt idx="7">
                    <c:v>2024</c:v>
                  </c:pt>
                  <c:pt idx="10">
                    <c:v>2025</c:v>
                  </c:pt>
                </c:lvl>
              </c:multiLvlStrCache>
            </c:multiLvlStrRef>
          </c:cat>
          <c:val>
            <c:numRef>
              <c:f>PivotTables!$H$8:$H$23</c:f>
              <c:numCache>
                <c:formatCode>General</c:formatCode>
                <c:ptCount val="11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8</c:v>
                </c:pt>
                <c:pt idx="4">
                  <c:v>142</c:v>
                </c:pt>
                <c:pt idx="5">
                  <c:v>10</c:v>
                </c:pt>
                <c:pt idx="6">
                  <c:v>211</c:v>
                </c:pt>
                <c:pt idx="7">
                  <c:v>3</c:v>
                </c:pt>
                <c:pt idx="8">
                  <c:v>9</c:v>
                </c:pt>
                <c:pt idx="9">
                  <c:v>81</c:v>
                </c:pt>
                <c:pt idx="1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8-4FE7-9554-E959B541393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923021920"/>
        <c:axId val="923017328"/>
      </c:barChart>
      <c:catAx>
        <c:axId val="92302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23017328"/>
        <c:crosses val="autoZero"/>
        <c:auto val="1"/>
        <c:lblAlgn val="ctr"/>
        <c:lblOffset val="100"/>
        <c:noMultiLvlLbl val="0"/>
      </c:catAx>
      <c:valAx>
        <c:axId val="92301732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2302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[pssService-Dashboard.xlsm]PivotTables!PivotTable2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Badge assigned?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  <c:marker>
          <c:symbol val="circle"/>
          <c:size val="6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</c:pivotFmt>
      <c:pivotFmt>
        <c:idx val="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</c:pivotFmt>
      <c:pivotFmt>
        <c:idx val="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</c:pivotFmt>
      <c:pivotFmt>
        <c:idx val="1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</c:pivotFmt>
      <c:pivotFmt>
        <c:idx val="1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</c:pivotFmt>
      <c:pivotFmt>
        <c:idx val="1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</c:pivotFmt>
      <c:pivotFmt>
        <c:idx val="1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</c:pivotFmt>
      <c:pivotFmt>
        <c:idx val="1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</c:pivotFmt>
      <c:pivotFmt>
        <c:idx val="1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matte">
            <a:bevelT prst="slope"/>
            <a:bevelB w="114300" prst="artDeco"/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PivotTables!$E$7</c:f>
              <c:strCache>
                <c:ptCount val="1"/>
                <c:pt idx="0">
                  <c:v>Total</c:v>
                </c:pt>
              </c:strCache>
            </c:strRef>
          </c:tx>
          <c:spPr>
            <a:scene3d>
              <a:camera prst="orthographicFront"/>
              <a:lightRig rig="freezing" dir="t"/>
            </a:scene3d>
            <a:sp3d prstMaterial="matte">
              <a:bevelT prst="slope"/>
              <a:bevelB w="114300" prst="artDeco"/>
            </a:sp3d>
          </c:spPr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freezing" dir="t"/>
              </a:scene3d>
              <a:sp3d prstMaterial="matte">
                <a:bevelT prst="slope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1321-4C06-8D06-88F3473B603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freezing" dir="t"/>
              </a:scene3d>
              <a:sp3d prstMaterial="matte">
                <a:bevelT prst="slope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1321-4C06-8D06-88F3473B603E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PivotTables!$D$8:$D$9</c:f>
              <c:strCache>
                <c:ptCount val="2"/>
                <c:pt idx="0">
                  <c:v>assigned</c:v>
                </c:pt>
                <c:pt idx="1">
                  <c:v>not assigned</c:v>
                </c:pt>
              </c:strCache>
            </c:strRef>
          </c:cat>
          <c:val>
            <c:numRef>
              <c:f>PivotTables!$E$8:$E$9</c:f>
              <c:numCache>
                <c:formatCode>General</c:formatCode>
                <c:ptCount val="2"/>
                <c:pt idx="0">
                  <c:v>76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21-4C06-8D06-88F3473B6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[pssService-Dashboard.xlsm]PivotTables!PivotTable5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Service reports sent</a:t>
            </a:r>
            <a:r>
              <a:rPr lang="de-DE" baseline="0"/>
              <a:t> to customer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PivotTables!$O$6:$O$7</c:f>
              <c:strCache>
                <c:ptCount val="1"/>
                <c:pt idx="0">
                  <c:v>sent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freezing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PivotTables!$N$8:$N$17</c:f>
              <c:multiLvlStrCache>
                <c:ptCount val="9"/>
                <c:lvl>
                  <c:pt idx="0">
                    <c:v>2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  <c:pt idx="6">
                    <c:v>1</c:v>
                  </c:pt>
                  <c:pt idx="7">
                    <c:v>8</c:v>
                  </c:pt>
                  <c:pt idx="8">
                    <c:v>9</c:v>
                  </c:pt>
                </c:lvl>
                <c:lvl>
                  <c:pt idx="0">
                    <c:v>2025</c:v>
                  </c:pt>
                </c:lvl>
              </c:multiLvlStrCache>
            </c:multiLvlStrRef>
          </c:cat>
          <c:val>
            <c:numRef>
              <c:f>PivotTables!$O$8:$O$17</c:f>
              <c:numCache>
                <c:formatCode>General</c:formatCode>
                <c:ptCount val="9"/>
                <c:pt idx="0">
                  <c:v>13</c:v>
                </c:pt>
                <c:pt idx="1">
                  <c:v>8</c:v>
                </c:pt>
                <c:pt idx="2">
                  <c:v>1</c:v>
                </c:pt>
                <c:pt idx="3">
                  <c:v>17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C-4032-84A7-88CE32C7B33A}"/>
            </c:ext>
          </c:extLst>
        </c:ser>
        <c:ser>
          <c:idx val="1"/>
          <c:order val="1"/>
          <c:tx>
            <c:strRef>
              <c:f>PivotTables!$P$6:$P$7</c:f>
              <c:strCache>
                <c:ptCount val="1"/>
                <c:pt idx="0">
                  <c:v>not sent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PivotTables!$N$8:$N$17</c:f>
              <c:multiLvlStrCache>
                <c:ptCount val="9"/>
                <c:lvl>
                  <c:pt idx="0">
                    <c:v>2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  <c:pt idx="6">
                    <c:v>1</c:v>
                  </c:pt>
                  <c:pt idx="7">
                    <c:v>8</c:v>
                  </c:pt>
                  <c:pt idx="8">
                    <c:v>9</c:v>
                  </c:pt>
                </c:lvl>
                <c:lvl>
                  <c:pt idx="0">
                    <c:v>2025</c:v>
                  </c:pt>
                </c:lvl>
              </c:multiLvlStrCache>
            </c:multiLvlStrRef>
          </c:cat>
          <c:val>
            <c:numRef>
              <c:f>PivotTables!$P$8:$P$17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3">
                  <c:v>4</c:v>
                </c:pt>
                <c:pt idx="4">
                  <c:v>17</c:v>
                </c:pt>
                <c:pt idx="5">
                  <c:v>30</c:v>
                </c:pt>
                <c:pt idx="7">
                  <c:v>2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5F-4361-8BB3-C1755A984E0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93251544"/>
        <c:axId val="293251872"/>
      </c:barChart>
      <c:catAx>
        <c:axId val="29325154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bg1"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3251872"/>
        <c:crosses val="autoZero"/>
        <c:auto val="1"/>
        <c:lblAlgn val="ctr"/>
        <c:lblOffset val="100"/>
        <c:noMultiLvlLbl val="0"/>
      </c:catAx>
      <c:valAx>
        <c:axId val="2932518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93251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[pssService-Dashboard.xlsm]PivotTables!PivotTable6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Open service reports &amp; reminders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threePt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>
                      <a:alpha val="99000"/>
                    </a:schemeClr>
                  </a:solidFill>
                  <a:effectLst>
                    <a:outerShdw blurRad="50800" dist="50800" dir="5400000" sx="2000" sy="2000" algn="ctr" rotWithShape="0">
                      <a:srgbClr val="000000">
                        <a:alpha val="43137"/>
                      </a:srgb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8549500743573401E-2"/>
          <c:y val="0.23856481481481481"/>
          <c:w val="0.96290099851285316"/>
          <c:h val="0.525168780985710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PivotTables!$R$7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freezing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alpha val="99000"/>
                      </a:schemeClr>
                    </a:solidFill>
                    <a:effectLst>
                      <a:outerShdw blurRad="50800" dist="50800" dir="5400000" sx="2000" sy="2000" algn="ctr" rotWithShape="0">
                        <a:srgbClr val="000000">
                          <a:alpha val="43137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PivotTables!$R$8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PivotTables!$R$8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C-4032-84A7-88CE32C7B33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93251544"/>
        <c:axId val="293251872"/>
      </c:barChart>
      <c:catAx>
        <c:axId val="29325154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bg1"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3251872"/>
        <c:crosses val="autoZero"/>
        <c:auto val="1"/>
        <c:lblAlgn val="ctr"/>
        <c:lblOffset val="100"/>
        <c:noMultiLvlLbl val="0"/>
      </c:catAx>
      <c:valAx>
        <c:axId val="2932518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9325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[pssService-Dashboard.xlsm]PivotTables!PivotTable1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Prüfberichte pro Jahr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softEdge">
            <a:bevelT w="114300" prst="artDeco"/>
            <a:bevelB w="114300" prst="artDeco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softEdge"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softEdge"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softEdge"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 prstMaterial="softEdge"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6995551472189462E-2"/>
          <c:y val="0.1891392857142857"/>
          <c:w val="0.9660088970556211"/>
          <c:h val="0.655805952380952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PivotTables!$B$7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freezing" dir="t"/>
            </a:scene3d>
            <a:sp3d prstMaterial="softEdge">
              <a:bevelT w="114300" prst="artDeco"/>
              <a:bevelB w="114300" prst="artDeco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PivotTables!$A$8:$A$12</c:f>
              <c:strCach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strCache>
            </c:strRef>
          </c:cat>
          <c:val>
            <c:numRef>
              <c:f>PivotTables!$B$8:$B$12</c:f>
              <c:numCache>
                <c:formatCode>General</c:formatCode>
                <c:ptCount val="5"/>
                <c:pt idx="0">
                  <c:v>2</c:v>
                </c:pt>
                <c:pt idx="1">
                  <c:v>163</c:v>
                </c:pt>
                <c:pt idx="2">
                  <c:v>211</c:v>
                </c:pt>
                <c:pt idx="3">
                  <c:v>93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A-4B3A-93DE-898E7FB95A0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74573896"/>
        <c:axId val="874577176"/>
      </c:barChart>
      <c:catAx>
        <c:axId val="87457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4577176"/>
        <c:crosses val="autoZero"/>
        <c:auto val="1"/>
        <c:lblAlgn val="ctr"/>
        <c:lblOffset val="100"/>
        <c:noMultiLvlLbl val="0"/>
      </c:catAx>
      <c:valAx>
        <c:axId val="87457717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7457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[pssService-Dashboard.xlsm]PivotTables!PivotTable3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Prüfberichte pro Jahr und Prüfer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freezing" dir="t"/>
          </a:scene3d>
          <a:sp3d>
            <a:bevelT w="114300" prst="artDeco"/>
            <a:bevelB w="114300" prst="artDeco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PivotTables!$H$7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freezing" dir="t"/>
            </a:scene3d>
            <a:sp3d>
              <a:bevelT w="114300" prst="artDeco"/>
              <a:bevelB w="114300" prst="artDeco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PivotTables!$G$8:$G$23</c:f>
              <c:multiLvlStrCache>
                <c:ptCount val="11"/>
                <c:lvl>
                  <c:pt idx="0">
                    <c:v>Volker</c:v>
                  </c:pt>
                  <c:pt idx="1">
                    <c:v>Dirk K (Gast)</c:v>
                  </c:pt>
                  <c:pt idx="2">
                    <c:v>Jürgen</c:v>
                  </c:pt>
                  <c:pt idx="3">
                    <c:v>Sascha</c:v>
                  </c:pt>
                  <c:pt idx="4">
                    <c:v>Volker</c:v>
                  </c:pt>
                  <c:pt idx="5">
                    <c:v>Volker P (Gast)</c:v>
                  </c:pt>
                  <c:pt idx="6">
                    <c:v>Volker</c:v>
                  </c:pt>
                  <c:pt idx="7">
                    <c:v>Jürgen</c:v>
                  </c:pt>
                  <c:pt idx="8">
                    <c:v>Nobby</c:v>
                  </c:pt>
                  <c:pt idx="9">
                    <c:v>Volker</c:v>
                  </c:pt>
                  <c:pt idx="10">
                    <c:v>Volker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  <c:pt idx="6">
                    <c:v>2023</c:v>
                  </c:pt>
                  <c:pt idx="7">
                    <c:v>2024</c:v>
                  </c:pt>
                  <c:pt idx="10">
                    <c:v>2025</c:v>
                  </c:pt>
                </c:lvl>
              </c:multiLvlStrCache>
            </c:multiLvlStrRef>
          </c:cat>
          <c:val>
            <c:numRef>
              <c:f>PivotTables!$H$8:$H$23</c:f>
              <c:numCache>
                <c:formatCode>General</c:formatCode>
                <c:ptCount val="11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8</c:v>
                </c:pt>
                <c:pt idx="4">
                  <c:v>142</c:v>
                </c:pt>
                <c:pt idx="5">
                  <c:v>10</c:v>
                </c:pt>
                <c:pt idx="6">
                  <c:v>211</c:v>
                </c:pt>
                <c:pt idx="7">
                  <c:v>3</c:v>
                </c:pt>
                <c:pt idx="8">
                  <c:v>9</c:v>
                </c:pt>
                <c:pt idx="9">
                  <c:v>81</c:v>
                </c:pt>
                <c:pt idx="1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81-4887-8936-88AC63AFABD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923021920"/>
        <c:axId val="923017328"/>
      </c:barChart>
      <c:catAx>
        <c:axId val="92302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23017328"/>
        <c:crosses val="autoZero"/>
        <c:auto val="1"/>
        <c:lblAlgn val="ctr"/>
        <c:lblOffset val="100"/>
        <c:noMultiLvlLbl val="0"/>
      </c:catAx>
      <c:valAx>
        <c:axId val="92301732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2302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3</xdr:row>
      <xdr:rowOff>0</xdr:rowOff>
    </xdr:from>
    <xdr:to>
      <xdr:col>1</xdr:col>
      <xdr:colOff>3594556</xdr:colOff>
      <xdr:row>15</xdr:row>
      <xdr:rowOff>43500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7EA2B2-D1E4-4D42-B32B-9BD406AE98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115956</xdr:colOff>
      <xdr:row>16</xdr:row>
      <xdr:rowOff>0</xdr:rowOff>
    </xdr:from>
    <xdr:to>
      <xdr:col>2</xdr:col>
      <xdr:colOff>626804</xdr:colOff>
      <xdr:row>31</xdr:row>
      <xdr:rowOff>22500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0F1FF67-74E6-48C3-81DA-B4728A15E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3934018</xdr:colOff>
      <xdr:row>3</xdr:row>
      <xdr:rowOff>10886</xdr:rowOff>
    </xdr:from>
    <xdr:to>
      <xdr:col>2</xdr:col>
      <xdr:colOff>632475</xdr:colOff>
      <xdr:row>15</xdr:row>
      <xdr:rowOff>54386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76F7CA6-D3C9-4C25-9372-0A3D67578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2</xdr:col>
      <xdr:colOff>627480</xdr:colOff>
      <xdr:row>47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6B3BADC-0A8F-43AA-A1FB-3EECFCBFCC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2</xdr:col>
      <xdr:colOff>628376</xdr:colOff>
      <xdr:row>63</xdr:row>
      <xdr:rowOff>53788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F9A9FCA1-FAC3-4ECC-8CB4-07E780E55F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0</xdr:rowOff>
    </xdr:from>
    <xdr:to>
      <xdr:col>1</xdr:col>
      <xdr:colOff>3598342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C90D52-9E29-418D-B2C8-C866BFF8F0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115956</xdr:colOff>
      <xdr:row>0</xdr:row>
      <xdr:rowOff>0</xdr:rowOff>
    </xdr:from>
    <xdr:to>
      <xdr:col>2</xdr:col>
      <xdr:colOff>626804</xdr:colOff>
      <xdr:row>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A93FDA-428F-4DA4-A088-A4E30BA5D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5923.458297453704" createdVersion="8" refreshedVersion="8" minRefreshableVersion="3" recordCount="569" xr:uid="{141EAC10-918E-47E8-971C-5DBF2FC3CB7B}">
  <cacheSource type="worksheet">
    <worksheetSource name="AllServiceberichte"/>
  </cacheSource>
  <cacheFields count="25">
    <cacheField name="Id" numFmtId="0">
      <sharedItems containsSemiMixedTypes="0" containsString="0" containsNumber="1" containsInteger="1" minValue="1" maxValue="712"/>
    </cacheField>
    <cacheField name="Serviceart" numFmtId="0">
      <sharedItems/>
    </cacheField>
    <cacheField name="ServiceartText" numFmtId="0">
      <sharedItems containsBlank="1"/>
    </cacheField>
    <cacheField name="ChecklisteText" numFmtId="0">
      <sharedItems containsBlank="1"/>
    </cacheField>
    <cacheField name="KEY" numFmtId="0">
      <sharedItems/>
    </cacheField>
    <cacheField name="Pruefer" numFmtId="0">
      <sharedItems count="6">
        <s v="Volker"/>
        <s v="Jürgen"/>
        <s v="Nobby"/>
        <s v="Dirk K (Gast)"/>
        <s v="Volker P (Gast)"/>
        <s v="Sascha"/>
      </sharedItems>
    </cacheField>
    <cacheField name="Pruefdatum" numFmtId="14">
      <sharedItems containsSemiMixedTypes="0" containsNonDate="0" containsDate="1" containsString="0" minDate="2021-12-11T23:00:00" maxDate="2025-09-04T22:00:00"/>
    </cacheField>
    <cacheField name="Pruefmonat" numFmtId="0">
      <sharedItems containsSemiMixedTypes="0" containsString="0" containsNumber="1" containsInteger="1" minValue="1" maxValue="12" count="12">
        <n v="8"/>
        <n v="9"/>
        <n v="7"/>
        <n v="6"/>
        <n v="5"/>
        <n v="4"/>
        <n v="3"/>
        <n v="2"/>
        <n v="1"/>
        <n v="11"/>
        <n v="12"/>
        <n v="10"/>
      </sharedItems>
    </cacheField>
    <cacheField name="Pruefjahr" numFmtId="0">
      <sharedItems containsSemiMixedTypes="0" containsString="0" containsNumber="1" containsInteger="1" minValue="2021" maxValue="2025" count="5">
        <n v="2025"/>
        <n v="2024"/>
        <n v="2023"/>
        <n v="2022"/>
        <n v="2021"/>
      </sharedItems>
    </cacheField>
    <cacheField name="DauerInMin0" numFmtId="1">
      <sharedItems containsString="0" containsBlank="1" containsNumber="1" minValue="5.9999999986030197" maxValue="239.999999996508"/>
    </cacheField>
    <cacheField name="Kunden-Nr" numFmtId="0">
      <sharedItems/>
    </cacheField>
    <cacheField name="Kunde" numFmtId="0">
      <sharedItems containsBlank="1" count="46">
        <s v="Demo8"/>
        <s v="Demo11 GmbH_x000a_Zentrallager"/>
        <s v="Demo1 GmbH"/>
        <s v="Demo3 GmbH"/>
        <s v="Demo10 GmbH_x000a_Zentrallager_x000a_Abteilung A1"/>
        <s v="Volker Pobloth"/>
        <s v="Demo2 GmbH"/>
        <s v="Kunde 01"/>
        <s v="Demokunde5"/>
        <s v="Demokunde2"/>
        <s v="Demokunde3"/>
        <s v="Demokunde1"/>
        <s v="Demokunde4"/>
        <s v="Aéroport de Luxembourg"/>
        <s v="Kunde I"/>
        <s v="Kunde Z01"/>
        <s v="Kunde 07"/>
        <s v="Kunde 06"/>
        <s v="Demo7"/>
        <s v="Kunde 10"/>
        <s v="Kunde 04"/>
        <s v="Testkunde 3"/>
        <s v="Testkunde 2"/>
        <s v="Testkunde 1"/>
        <s v="Demo6"/>
        <s v="Demo10_x000a_Name2_x000a_Name3"/>
        <s v="Demo10"/>
        <s v="Demo4 GmbH"/>
        <s v="Kunde 02 Niederlassung Köllerbach"/>
        <s v="Kunde H"/>
        <s v="Kunde"/>
        <s v="Kunde 08"/>
        <s v="Kunde 03"/>
        <s v="Firma-12345-12345-12345-12345-12345-123#"/>
        <s v="Kunde 05"/>
        <s v="Kunde 09 (en)"/>
        <s v="Kunde 02"/>
        <s v="Kunde A"/>
        <s v="Kunde 02 _x000a_Niederlassung Köllerbach"/>
        <s v="Kunde B"/>
        <s v="Kunde E"/>
        <s v="Kunde C"/>
        <s v="Aeroport Luxembourg"/>
        <s v="Kunde D"/>
        <s v="Kunde F"/>
        <m/>
      </sharedItems>
    </cacheField>
    <cacheField name="MA INV-Nr" numFmtId="0">
      <sharedItems/>
    </cacheField>
    <cacheField name="Geraetetyp" numFmtId="0">
      <sharedItems containsBlank="1"/>
    </cacheField>
    <cacheField name="GeraetetypText" numFmtId="0">
      <sharedItems containsBlank="1" count="10">
        <s v="pssSoftware"/>
        <s v="Demo device"/>
        <s v="Demogerät"/>
        <s v="Leiter"/>
        <s v="Fahrzeug"/>
        <s v="Flurförderzeug"/>
        <s v="Industrial truck"/>
        <s v="Flurförderzeug (Maulick)"/>
        <s v="Ayurveda"/>
        <m/>
      </sharedItems>
    </cacheField>
    <cacheField name="Inventarart" numFmtId="0">
      <sharedItems/>
    </cacheField>
    <cacheField name="Geraeteart" numFmtId="0">
      <sharedItems count="63">
        <s v="Service Solution"/>
        <s v="Advanced Rotak 36V-40-650"/>
        <s v="Heckenschere"/>
        <s v="Spielomat X1-45/7"/>
        <s v="Schöne Leiter"/>
        <s v="Mini Basic"/>
        <s v="Mini"/>
        <s v="Stapler"/>
        <s v="Device2"/>
        <s v="Gerät"/>
        <s v="Alu-Leiter, 50m"/>
        <s v="Alu Leiter 50m, 60 Sprossen, 6kg"/>
        <s v="ETV Q 25"/>
        <s v="Deichselstapler H 1000"/>
        <s v="RX 20-20 P"/>
        <s v="EJE 16"/>
        <s v="Parking E"/>
        <s v="R1150R, schwarz-gelb"/>
        <s v="Car"/>
        <s v="Kipplader"/>
        <s v="Gleitleiter, Alu, 10m hoch, 30 Sprossen"/>
        <s v="Stapler XXL"/>
        <s v="Aluleiter"/>
        <s v="Alu-Gleitleiter 10m "/>
        <s v="Gerät Y3-1"/>
        <s v="Gerät Y2-1"/>
        <s v="Gerät Y1-1"/>
        <s v="Treatment"/>
        <s v="Gerät1"/>
        <s v="Sovar 2100 Wiegehubwagen"/>
        <s v="ABC "/>
        <s v="Geräteart"/>
        <s v="Device"/>
        <s v="Template1, XL, 50m "/>
        <s v="Sovar 2100 Wiegehubwagen "/>
        <s v="Mini#"/>
        <s v="Alu-Gleitleiter, 15m, 50 Sprossen, 50kg"/>
        <s v="Spielomat XL1"/>
        <s v="Deichselstapler HY H 1000"/>
        <s v="Mini 1"/>
        <s v="JH ETV Q 25"/>
        <s v="Elektrostapler"/>
        <s v="Inv.22 Still RX 20-20 P"/>
        <s v="RAVAS Sovar 2100 Wiegehubwagen"/>
        <s v="R1150R schwarz-gelb"/>
        <s v="Elektro-Stapler EJC 110/ZT - Zweifach-Teleskop-Hubgerüst"/>
        <s v="Alu-Gleitleiter 15m, 100 Sprossen"/>
        <s v="JH EJE 16"/>
        <s v="Tandem-Wannen-2-Seitenkipper von 18 t - 22 t mit zwei Achsen"/>
        <s v="Template1, XL, 50m"/>
        <s v="Alu Leiter 50m, 60 Sprossen, 6kg, Zubehörset 1a"/>
        <s v="Deichselstapler"/>
        <s v="Alu-Gleitleiter 10m"/>
        <s v="R1150R 123456789"/>
        <s v="Gerät XL, rot"/>
        <s v="R1150R"/>
        <s v="Sandy Golf"/>
        <s v="HY H 10.00 XL - 12 EC"/>
        <s v="ABC"/>
        <s v="Climax 2,5 to. Tandem-Laufrollen - rot"/>
        <s v="25+Komponenten"/>
        <s v="Hubwagen AM 2200"/>
        <s v="Rasenmäher" u="1"/>
      </sharedItems>
    </cacheField>
    <cacheField name="Hersteller" numFmtId="0">
      <sharedItems count="28">
        <s v="pobvol"/>
        <s v="Bosch"/>
        <s v="Merkur"/>
        <s v="Eine"/>
        <s v="BMW"/>
        <s v="Demo"/>
        <s v="Peters"/>
        <s v="Leiterbau"/>
        <s v="JH"/>
        <s v="Hyster"/>
        <s v="Still"/>
        <s v="luxairport"/>
        <s v="LINDE"/>
        <s v="Bobby"/>
        <s v="Maxx"/>
        <s v="Eine schöne"/>
        <s v="Max"/>
        <s v="Hersteller"/>
        <s v="AFB"/>
        <s v="Ravas"/>
        <s v="Ayurveda for Balance"/>
        <s v="HE"/>
        <s v="Bobbys"/>
        <s v="Test"/>
        <s v="Wagner"/>
        <s v="BWW"/>
        <s v="Cordial"/>
        <s v="Climax"/>
      </sharedItems>
    </cacheField>
    <cacheField name="Maengelklasse" numFmtId="0">
      <sharedItems containsBlank="1"/>
    </cacheField>
    <cacheField name="MaengelklasseText" numFmtId="0">
      <sharedItems containsBlank="1"/>
    </cacheField>
    <cacheField name="Plakette erteilt" numFmtId="0">
      <sharedItems count="2">
        <b v="1"/>
        <b v="0"/>
      </sharedItems>
    </cacheField>
    <cacheField name="Genehmigt" numFmtId="0">
      <sharedItems count="2">
        <b v="0"/>
        <b v="1"/>
      </sharedItems>
    </cacheField>
    <cacheField name="Gesendet" numFmtId="0">
      <sharedItems count="2">
        <b v="0"/>
        <b v="1"/>
      </sharedItems>
    </cacheField>
    <cacheField name="MyVersion" numFmtId="0">
      <sharedItems containsString="0" containsBlank="1" containsNumber="1" containsInteger="1" minValue="1" maxValue="6"/>
    </cacheField>
    <cacheField name="DauerInMin" numFmtId="1">
      <sharedItems containsString="0" containsBlank="1" containsNumber="1" minValue="15.0000000069849" maxValue="239.9999999965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5923.458413310182" createdVersion="8" refreshedVersion="8" minRefreshableVersion="3" recordCount="28" xr:uid="{6EC156E0-C985-456C-AE9F-E356E409AF83}">
  <cacheSource type="worksheet">
    <worksheetSource name="AllServiceauftraege"/>
  </cacheSource>
  <cacheFields count="46">
    <cacheField name="FileSystemObjectType" numFmtId="0">
      <sharedItems containsSemiMixedTypes="0" containsString="0" containsNumber="1" containsInteger="1" minValue="0" maxValue="0"/>
    </cacheField>
    <cacheField name="Id" numFmtId="0">
      <sharedItems containsSemiMixedTypes="0" containsString="0" containsNumber="1" containsInteger="1" minValue="403" maxValue="446"/>
    </cacheField>
    <cacheField name="ServerRedirectedEmbedUri" numFmtId="0">
      <sharedItems containsNonDate="0" containsString="0" containsBlank="1"/>
    </cacheField>
    <cacheField name="ServerRedirectedEmbedUrl" numFmtId="0">
      <sharedItems/>
    </cacheField>
    <cacheField name="Title" numFmtId="0">
      <sharedItems count="33">
        <s v="Wartung (Remote) "/>
        <s v="STK/Wartung "/>
        <s v="UVV-Prüfung "/>
        <s v="pobvol pssService: UVV-Prüfung - Flurförderzeug (nicht abgestimmt)"/>
        <s v="pobvol pssService: STK/Wartung - Flurförderzeug (nicht abgestimmt)"/>
        <s v="Reparatur in unserer Werkstatt "/>
        <s v="Aufstellung (Bringservice) "/>
        <s v="Wartung (Remote)"/>
        <s v="pobvol pssService: UVV-Prüfung - Demogerät (nicht abgestimmt)"/>
        <s v="UVV-Prüfung"/>
        <s v="Wartung "/>
        <s v="pobvol pssService: UVV-Prüfung - Fahrzeug (nicht abgestimmt)"/>
        <s v="STK/Maintenance"/>
        <s v="pobvol pssService: Maintenance (Remote) - pssSoftware (nicht abgestimmt)"/>
        <s v="pobvol pssService: Wartung (Remote) - pssSoftware (nicht abgestimmt)"/>
        <s v="UVV inspection "/>
        <s v="pobvol pssService: UVV-Prüfung - Leiter (nicht abgestimmt)" u="1"/>
        <s v="pobvol pssService: UVV-Prüfung - Leiter - 03'25 " u="1"/>
        <s v="pobvol pssService: UVV inspection - Industrial truck (nicht abgestimmt)" u="1"/>
        <s v="Installation (Remote) " u="1"/>
        <s v="pobvol pssService: UVV inspection - Vehicle (nicht abgestimmt)" u="1"/>
        <s v="pobvol pssService: UVV inspection - Demo device (nicht abgestimmt)" u="1"/>
        <s v="pobvol pssService: UVV inspection - Ladder (nicht abgestimmt)" u="1"/>
        <s v="pobvol pssService: UVV inspection - Industrial truck - 10'24" u="1"/>
        <s v="pobvol pssService: UVV inspection - Demo device - 10'24" u="1"/>
        <s v="pobvol pssService: UVV-Prüfung - Demogerät - 12'24" u="1"/>
        <s v="pobvol pssService: Support - pssSoftware (nicht abgestimmt)" u="1"/>
        <s v="pobvol Service: UVV inspection - Demo device (nicht abgestimmt)" u="1"/>
        <s v="pobvol Service: UVV inspection - Industrial truck (nicht abgestimmt)" u="1"/>
        <s v="pobvol Service: UVV-Prüfung - Demogerät (nicht abgestimmt)" u="1"/>
        <s v="pobvol Service: UVV-Prüfung - Flurförderzeug (nicht abgestimmt)" u="1"/>
        <s v="pobvol pssService: UVV-Prüfung - Leiter - 09'24" u="1"/>
        <s v="pobvol pssService: Maintenance (Remote) - pssSoftware - 10'24 " u="1"/>
      </sharedItems>
    </cacheField>
    <cacheField name="Serviceart" numFmtId="0">
      <sharedItems/>
    </cacheField>
    <cacheField name="Inventarart" numFmtId="0">
      <sharedItems/>
    </cacheField>
    <cacheField name="Reminder" numFmtId="0">
      <sharedItems/>
    </cacheField>
    <cacheField name="Ort" numFmtId="0">
      <sharedItems containsBlank="1" count="44">
        <s v="Wolfskaulstr. 84, 66292 Riegelsberg"/>
        <s v="Köllner Str. 94, D-66292 Riegelsberg"/>
        <s v="Köllner Str. 94, 66292 Riegelsberg, D"/>
        <s v="Poststr. 9, 66822 Lebach, D"/>
        <s v="Wolfskaulstr. 84, D-66292 Riegelsberg"/>
        <s v="Wolfskaulstr. 85, D-66292 Riegelsberg"/>
        <s v="Carl-Zeiss-Str. 4, D-66740 Saarlouis"/>
        <s v="Weidkamp 23, D-45355 Essen"/>
        <s v="Carl-Zeiss-Str. 4, 66740 Saarlouis, D"/>
        <s v="Wolfskaulstr. 86, D-66292 Riegelsberg"/>
        <s v="Wolfskaulstr. 84, 66292 Riegelsberg, D"/>
        <s v="Saarbrücker Str. 28, D-66265 Heusweiler" u="1"/>
        <s v="Strasse-12345-12345-12345-12345-12345-1#, 12345 Ort-12345-12345-12345-12345-1#, D" u="1"/>
        <s v="Trierer Str. 155, 66265 Heusweiler, D" u="1"/>
        <s v="Bühlerstr. 18, 66130 Saarbrücken, D" u="1"/>
        <s v="Lebacher Str. 13, 66265 Heusweiler - Eiweiler, D" u="1"/>
        <s v="Münstergasse 64, 3011 Bern, CH" u="1"/>
        <s v="Köllner Str. 92, 66292 Riegelsberg, D" u="1"/>
        <s v="Europaplatz 4, 66571 Eppelborn, D" u="1"/>
        <s v="Hauptstr. 123, 66292 Riegelsberg, D" u="1"/>
        <s v="Poststraße 9, D-66822 Lebach" u="1"/>
        <s v="Weidkamp 23, 45355 Essen, D" u="1"/>
        <s v="Fresagrandinaria Str. 7, D-66346 Püttlingen-Köllerbach" u="1"/>
        <s v="Auf dem Graben 1, 66822 Lebach, D" u="1"/>
        <s v="Auf dem Graben 12, 66822 Lebach, D" u="1"/>
        <s v="Europaplatz 4, D-66571 Eppelborn" u="1"/>
        <s v="1, Route de Trèves, 2632 Findel, Luxembourg, L" u="1"/>
        <s v="Fresagrandinaria Str. 7, 66346 Püttlingen-Köllerbach, D" u="1"/>
        <s v="Poststraße 9, 66822 Lebach, D" u="1"/>
        <s v="Saarbrücker Str. 86a_x000a_D-66292 Riegelsberg" u="1"/>
        <s v="Saarbrücker Str. 86a, 66292 Riegelsberg, D" u="1"/>
        <s v="Saarbrücker Str. 28, 66265 Heusweiler, D" u="1"/>
        <s v="Auf dem Graben 1, D-66822 Lebach" u="1"/>
        <s v="Saarbruecker Str. 121, 66292 Riegelsberg, D" u="1"/>
        <s v="Saarbrücker Str. 262, 66292 Riegelsberg, D" u="1"/>
        <s v="Köllner Str. 92, D-66292 Riegelsberg" u="1"/>
        <s v="Strasse I, D-66292 Riegelsberg" u="1"/>
        <s v="Strasse H, D-12345 OrtH" u="1"/>
        <s v="Hauptstr. 123, D-66292 Riegelsberg" u="1"/>
        <m u="1"/>
        <s v="Saarbrücker Str. 86a, D-66292 Riegelsberg" u="1"/>
        <s v="Lebacher Str. 13, 66265 Heusweiler - Eiweiler, DE" u="1"/>
        <s v="Auf dem Graben 1, 66822 Lebach, DE" u="1"/>
        <s v="Weidkamp 23, 45355 Essen, DE" u="1"/>
      </sharedItems>
    </cacheField>
    <cacheField name="GPSLocation" numFmtId="0">
      <sharedItems containsBlank="1"/>
    </cacheField>
    <cacheField name="SharedCalendarId" numFmtId="0">
      <sharedItems containsBlank="1"/>
    </cacheField>
    <cacheField name="Anfangszeit" numFmtId="0">
      <sharedItems containsSemiMixedTypes="0" containsString="0" containsNumber="1" minValue="45545.541666666664" maxValue="46593.920138888891" count="99">
        <n v="45853.333333333336"/>
        <n v="45859.375"/>
        <n v="45859.479166666664"/>
        <n v="46223.920138888891"/>
        <n v="46042.961805555555"/>
        <n v="46222.920138888891"/>
        <n v="45904.458333333336"/>
        <n v="45861.375"/>
        <n v="45905.5"/>
        <n v="45862.458333333336"/>
        <n v="45908.333333333336"/>
        <n v="45862.291666666664"/>
        <n v="45862.3125"/>
        <n v="46075.961805555555"/>
        <n v="46153.920138888891"/>
        <n v="46174.920138888891"/>
        <n v="45876.5"/>
        <n v="46593.920138888891"/>
        <n v="45903.291666666664"/>
        <n v="45902.479166666664"/>
        <n v="45876.333333333336"/>
        <n v="45915.333333333336"/>
        <n v="45907.920138888891"/>
        <n v="45935.920138888891"/>
        <n v="46244.920138888891"/>
        <n v="45861.333333333336" u="1"/>
        <n v="45877.3125" u="1"/>
        <n v="45954.333333333336" u="1"/>
        <n v="45875.458333333336" u="1"/>
        <n v="45877.375" u="1"/>
        <n v="46208.920138888891" u="1"/>
        <n v="45729.416666666664" u="1"/>
        <n v="45903.920138888891" u="1"/>
        <n v="45882.920138888891" u="1"/>
        <n v="45911.920138888891" u="1"/>
        <n v="45923.920138888891" u="1"/>
        <n v="45928.920138888891" u="1"/>
        <n v="45893.920138888891" u="1"/>
        <n v="45929.920138888891" u="1"/>
        <n v="45937.920138888891" u="1"/>
        <n v="45945.920138888891" u="1"/>
        <n v="45938.920138888891" u="1"/>
        <n v="45942.920138888891" u="1"/>
        <n v="45952.920138888891" u="1"/>
        <n v="45769.920138888891" u="1"/>
        <n v="45755.920138888891" u="1"/>
        <n v="45767.920138888891" u="1"/>
        <n v="46050.961805555555" u="1"/>
        <n v="46054.961805555555" u="1"/>
        <n v="45699.961805555555" u="1"/>
        <n v="45722.961805555555" u="1"/>
        <n v="46058.961805555555" u="1"/>
        <n v="45725.961805555555" u="1"/>
        <n v="45939.920138888891" u="1"/>
        <n v="45704.961805555555" u="1"/>
        <n v="45712.375" u="1"/>
        <n v="46439.961805555555" u="1"/>
        <n v="45739.961805555555" u="1"/>
        <n v="46065.961805555555" u="1"/>
        <n v="45728.961805555555" u="1"/>
        <n v="45733.961805555555" u="1"/>
        <n v="45756.920138888891" u="1"/>
        <n v="45753.920138888891" u="1"/>
        <n v="45728.375" u="1"/>
        <n v="45750.920138888891" u="1"/>
        <n v="45914.920138888891" u="1"/>
        <n v="45567.375" u="1"/>
        <n v="45587.333333333336" u="1"/>
        <n v="45595.416666666664" u="1"/>
        <n v="45603.961805555555" u="1"/>
        <n v="45973.961805555555" u="1"/>
        <n v="45613.961805555555" u="1"/>
        <n v="45614.961805555555" u="1"/>
        <n v="45630.961805555555" u="1"/>
        <n v="45627.961805555555" u="1"/>
        <n v="45637.961805555555" u="1"/>
        <n v="45655.961805555555" u="1"/>
        <n v="45628.375" u="1"/>
        <n v="45956.961805555555" u="1"/>
        <n v="45641.961805555555" u="1"/>
        <n v="45925.920138888891" u="1"/>
        <n v="45924.920138888891" u="1"/>
        <n v="45665.961805555555" u="1"/>
        <n v="45607.961805555555" u="1"/>
        <n v="46292.920138888891" u="1"/>
        <n v="45585.920138888891" u="1"/>
        <n v="45608.961805555555" u="1"/>
        <n v="45606.961805555555" u="1"/>
        <n v="45616.961805555555" u="1"/>
        <n v="45594.961805555555" u="1"/>
        <n v="45557.920138888891" u="1"/>
        <n v="45564.920138888891" u="1"/>
        <n v="45567.920138888891" u="1"/>
        <n v="45586.920138888891" u="1"/>
        <n v="45595.961805555555" u="1"/>
        <n v="45545.541666666664" u="1"/>
        <n v="45574.920138888891" u="1"/>
        <n v="45589.458333333336" u="1"/>
        <n v="45589.333333333336" u="1"/>
      </sharedItems>
    </cacheField>
    <cacheField name="Endzeit" numFmtId="0">
      <sharedItems containsSemiMixedTypes="0" containsString="0" containsNumber="1" minValue="45545.5625" maxValue="46593.940972222219" count="101">
        <n v="45853.375"/>
        <n v="45859.4375"/>
        <n v="45859.5"/>
        <n v="46223.940972222219"/>
        <n v="46042.982638888891"/>
        <n v="46222.940972222219"/>
        <n v="45904.5"/>
        <n v="45861.458333333336"/>
        <n v="45905.541666666664"/>
        <n v="45862.479166666664"/>
        <n v="45908.354166666664"/>
        <n v="45862.3125"/>
        <n v="45862.333333333336"/>
        <n v="46075.982638888891"/>
        <n v="46153.940972222219"/>
        <n v="46174.940972222219"/>
        <n v="45876.541666666664"/>
        <n v="46593.940972222219"/>
        <n v="45903.3125"/>
        <n v="45902.5"/>
        <n v="45876.375"/>
        <n v="45915.375"/>
        <n v="45907.961805555555"/>
        <n v="45935.961805555555"/>
        <n v="46244.940972222219"/>
        <n v="45861.375" u="1"/>
        <n v="45877.354166666664" u="1"/>
        <n v="45954.354166666664" u="1"/>
        <n v="45875.479166666664" u="1"/>
        <n v="45877.395833333336" u="1"/>
        <n v="46208.940972222219" u="1"/>
        <n v="45729.434027777781" u="1"/>
        <n v="45903.9375" u="1"/>
        <n v="45882.9375" u="1"/>
        <n v="45911.9375" u="1"/>
        <n v="45923.9375" u="1"/>
        <n v="45928.9375" u="1"/>
        <n v="45893.9375" u="1"/>
        <n v="45929.9375" u="1"/>
        <n v="45937.9375" u="1"/>
        <n v="45945.9375" u="1"/>
        <n v="45938.9375" u="1"/>
        <n v="45942.9375" u="1"/>
        <n v="45952.9375" u="1"/>
        <n v="45769.9375" u="1"/>
        <n v="45755.9375" u="1"/>
        <n v="45767.9375" u="1"/>
        <n v="46050.979166666664" u="1"/>
        <n v="46054.979166666664" u="1"/>
        <n v="45699.979166666664" u="1"/>
        <n v="45722.979166666664" u="1"/>
        <n v="46058.979166666664" u="1"/>
        <n v="45725.979166666664" u="1"/>
        <n v="45939.9375" u="1"/>
        <n v="45704.979166666664" u="1"/>
        <n v="45712.541666666664" u="1"/>
        <n v="46439.979166666664" u="1"/>
        <n v="45739.979166666664" u="1"/>
        <n v="46075.979166666664" u="1"/>
        <n v="46065.979166666664" u="1"/>
        <n v="45728.979166666664" u="1"/>
        <n v="45733.979166666664" u="1"/>
        <n v="45756.9375" u="1"/>
        <n v="45753.9375" u="1"/>
        <n v="45728.416666666664" u="1"/>
        <n v="45750.9375" u="1"/>
        <n v="45914.9375" u="1"/>
        <n v="45567.392361111109" u="1"/>
        <n v="45587.350694444445" u="1"/>
        <n v="45595.434027777781" u="1"/>
        <n v="45603.979166666664" u="1"/>
        <n v="45973.979166666664" u="1"/>
        <n v="45613.979166666664" u="1"/>
        <n v="45614.979166666664" u="1"/>
        <n v="45630.979166666664" u="1"/>
        <n v="45627.979166666664" u="1"/>
        <n v="45637.979166666664" u="1"/>
        <n v="45655.979166666664" u="1"/>
        <n v="45628.416666666664" u="1"/>
        <n v="45956.979166666664" u="1"/>
        <n v="45641.979166666664" u="1"/>
        <n v="45925.9375" u="1"/>
        <n v="45924.9375" u="1"/>
        <n v="45935.9375" u="1"/>
        <n v="45665.979166666664" u="1"/>
        <n v="45607.979166666664" u="1"/>
        <n v="46292.9375" u="1"/>
        <n v="45585.9375" u="1"/>
        <n v="45608.979166666664" u="1"/>
        <n v="45606.979166666664" u="1"/>
        <n v="45616.979166666664" u="1"/>
        <n v="45594.979166666664" u="1"/>
        <n v="45557.9375" u="1"/>
        <n v="45564.9375" u="1"/>
        <n v="45567.9375" u="1"/>
        <n v="45586.9375" u="1"/>
        <n v="45595.979166666664" u="1"/>
        <n v="45545.5625" u="1"/>
        <n v="45574.9375" u="1"/>
        <n v="45589.479166666664" u="1"/>
        <n v="45589.350694444445" u="1"/>
      </sharedItems>
    </cacheField>
    <cacheField name="TeilnehmerId" numFmtId="0">
      <sharedItems/>
    </cacheField>
    <cacheField name="TeilnehmerStringId" numFmtId="0">
      <sharedItems/>
    </cacheField>
    <cacheField name="PrueferId" numFmtId="0">
      <sharedItems/>
    </cacheField>
    <cacheField name="PrueferStringId" numFmtId="0">
      <sharedItems/>
    </cacheField>
    <cacheField name="PrueferName" numFmtId="0">
      <sharedItems containsBlank="1" count="5">
        <s v="Volker"/>
        <s v="Volker;K. Test"/>
        <m/>
        <s v="Nobby;Volker" u="1"/>
        <s v="Nobby" u="1"/>
      </sharedItems>
    </cacheField>
    <cacheField name="Beschreibung" numFmtId="0">
      <sharedItems longText="1"/>
    </cacheField>
    <cacheField name="KDNR" numFmtId="0">
      <sharedItems/>
    </cacheField>
    <cacheField name="INVNR" numFmtId="0">
      <sharedItems/>
    </cacheField>
    <cacheField name="SammelINVNR" numFmtId="0">
      <sharedItems containsNonDate="0" containsString="0" containsBlank="1"/>
    </cacheField>
    <cacheField name="FlagGroup" numFmtId="0">
      <sharedItems/>
    </cacheField>
    <cacheField name="GeraetetypCode" numFmtId="0">
      <sharedItems/>
    </cacheField>
    <cacheField name="AbweichendeLieferanschrift" numFmtId="0">
      <sharedItems containsBlank="1"/>
    </cacheField>
    <cacheField name="Pruefungshistorie" numFmtId="0">
      <sharedItems containsNonDate="0" containsString="0" containsBlank="1"/>
    </cacheField>
    <cacheField name="HISTORIEDE" numFmtId="0">
      <sharedItems/>
    </cacheField>
    <cacheField name="HISTORIEEN" numFmtId="0">
      <sharedItems/>
    </cacheField>
    <cacheField name="PruefdatenGefunden" numFmtId="0">
      <sharedItems containsBlank="1"/>
    </cacheField>
    <cacheField name="PruefberichtGefunden" numFmtId="0">
      <sharedItems containsBlank="1"/>
    </cacheField>
    <cacheField name="PruefberichtGenehmigt" numFmtId="0">
      <sharedItems containsBlank="1"/>
    </cacheField>
    <cacheField name="KDAUFNR" numFmtId="0">
      <sharedItems containsBlank="1"/>
    </cacheField>
    <cacheField name="KDAUFDATUM" numFmtId="0">
      <sharedItems containsString="0" containsBlank="1" containsNumber="1" minValue="45851.916666666664" maxValue="45902.916666666664"/>
    </cacheField>
    <cacheField name="KDAUFKONTAKT" numFmtId="0">
      <sharedItems containsBlank="1"/>
    </cacheField>
    <cacheField name="KEY" numFmtId="0">
      <sharedItems/>
    </cacheField>
    <cacheField name="ContentTypeId" numFmtId="0">
      <sharedItems/>
    </cacheField>
    <cacheField name="OData__ColorTag" numFmtId="0">
      <sharedItems containsNonDate="0" containsString="0" containsBlank="1"/>
    </cacheField>
    <cacheField name="ComplianceAssetId" numFmtId="0">
      <sharedItems containsNonDate="0" containsString="0" containsBlank="1"/>
    </cacheField>
    <cacheField name="ID2" numFmtId="0">
      <sharedItems containsSemiMixedTypes="0" containsString="0" containsNumber="1" containsInteger="1" minValue="403" maxValue="446"/>
    </cacheField>
    <cacheField name="Modified" numFmtId="0">
      <sharedItems containsSemiMixedTypes="0" containsString="0" containsNumber="1" minValue="45858.556145833332" maxValue="45913.399444444447"/>
    </cacheField>
    <cacheField name="Created" numFmtId="0">
      <sharedItems containsSemiMixedTypes="0" containsString="0" containsNumber="1" minValue="45855.848460648151" maxValue="45910.373761574076"/>
    </cacheField>
    <cacheField name="AuthorId" numFmtId="0">
      <sharedItems containsSemiMixedTypes="0" containsString="0" containsNumber="1" containsInteger="1" minValue="10" maxValue="10"/>
    </cacheField>
    <cacheField name="EditorId" numFmtId="0">
      <sharedItems containsSemiMixedTypes="0" containsString="0" containsNumber="1" containsInteger="1" minValue="10" maxValue="10"/>
    </cacheField>
    <cacheField name="OData__UIVersionString" numFmtId="0">
      <sharedItems/>
    </cacheField>
    <cacheField name="Attachments" numFmtId="0">
      <sharedItems/>
    </cacheField>
    <cacheField name="GUI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46E64C-1B22-4AC7-A9E4-F24A8D9C8C7F}" name="PivotTable7" cacheId="108" applyNumberFormats="0" applyBorderFormats="0" applyFontFormats="0" applyPatternFormats="0" applyAlignmentFormats="0" applyWidthHeightFormats="1" dataCaption="Values" updatedVersion="8" minRefreshableVersion="3" showDrill="0" showDataTips="0" enableDrill="0" rowGrandTotals="0" colGrandTotals="0" createdVersion="6" indent="0" compact="0" compactData="0" rowHeaderCaption="Year" colHeaderCaption=" Badge" fieldListSortAscending="1" customListSort="0">
  <location ref="B4:I154" firstHeaderRow="1" firstDataRow="2" firstDataCol="6"/>
  <pivotFields count="25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Prüfer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Datum" compact="0" numFmtId="14" outline="0" showAll="0" nonAutoSortDefault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onth" axis="axisRow" compact="0" numFmtId="1" outline="0" showAll="0" insertBlankRow="1" insertPageBreak="1" nonAutoSortDefault="1" defaultSubtotal="0">
      <items count="12">
        <item x="10"/>
        <item x="9"/>
        <item x="11"/>
        <item x="1"/>
        <item x="0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sortType="descending" defaultSubtotal="0">
      <items count="5">
        <item x="0"/>
        <item h="1" x="1"/>
        <item h="1" x="2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ustomer" axis="axisRow" outline="0" subtotalTop="0" showAll="0" insertBlankRow="1" nonAutoSortDefault="1" defaultSubtotal="0">
      <items count="46">
        <item x="13"/>
        <item x="2"/>
        <item x="26"/>
        <item x="4"/>
        <item x="25"/>
        <item x="1"/>
        <item x="6"/>
        <item x="3"/>
        <item x="27"/>
        <item x="24"/>
        <item x="18"/>
        <item x="0"/>
        <item x="11"/>
        <item x="9"/>
        <item x="10"/>
        <item x="12"/>
        <item x="8"/>
        <item x="30"/>
        <item x="7"/>
        <item x="28"/>
        <item x="20"/>
        <item x="17"/>
        <item x="16"/>
        <item x="19"/>
        <item x="14"/>
        <item x="15"/>
        <item x="23"/>
        <item x="22"/>
        <item x="21"/>
        <item x="5"/>
        <item x="37"/>
        <item x="39"/>
        <item x="41"/>
        <item x="43"/>
        <item x="44"/>
        <item x="29"/>
        <item x="36"/>
        <item x="34"/>
        <item x="32"/>
        <item x="40"/>
        <item x="31"/>
        <item x="38"/>
        <item x="35"/>
        <item x="42"/>
        <item x="33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Device type" axis="axisRow" compact="0" outline="0" showAll="0" defaultSubtotal="0">
      <items count="10">
        <item x="8"/>
        <item x="1"/>
        <item x="2"/>
        <item x="4"/>
        <item x="5"/>
        <item x="7"/>
        <item x="6"/>
        <item x="3"/>
        <item x="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Device" axis="axisRow" compact="0" outline="0" showAll="0" sortType="ascending" defaultSubtotal="0">
      <items count="63">
        <item x="60"/>
        <item x="58"/>
        <item x="30"/>
        <item x="1"/>
        <item x="11"/>
        <item x="50"/>
        <item x="52"/>
        <item x="23"/>
        <item x="46"/>
        <item x="36"/>
        <item x="22"/>
        <item x="10"/>
        <item x="18"/>
        <item x="59"/>
        <item x="51"/>
        <item x="13"/>
        <item x="38"/>
        <item x="32"/>
        <item x="8"/>
        <item x="15"/>
        <item x="41"/>
        <item x="45"/>
        <item x="12"/>
        <item x="9"/>
        <item x="54"/>
        <item x="26"/>
        <item x="25"/>
        <item x="24"/>
        <item x="28"/>
        <item x="31"/>
        <item x="20"/>
        <item x="2"/>
        <item x="61"/>
        <item x="57"/>
        <item x="42"/>
        <item x="47"/>
        <item x="40"/>
        <item x="19"/>
        <item x="6"/>
        <item x="39"/>
        <item x="5"/>
        <item x="35"/>
        <item x="16"/>
        <item x="55"/>
        <item x="53"/>
        <item x="44"/>
        <item x="17"/>
        <item m="1" x="62"/>
        <item x="43"/>
        <item x="14"/>
        <item x="56"/>
        <item x="4"/>
        <item x="0"/>
        <item x="29"/>
        <item x="34"/>
        <item x="3"/>
        <item x="37"/>
        <item x="7"/>
        <item x="21"/>
        <item x="48"/>
        <item x="49"/>
        <item x="33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anufacturer" axis="axisRow" compact="0" outline="0" showAll="0" defaultSubtotal="0">
      <items count="28">
        <item x="18"/>
        <item x="20"/>
        <item x="4"/>
        <item x="13"/>
        <item x="22"/>
        <item x="1"/>
        <item x="25"/>
        <item x="27"/>
        <item x="26"/>
        <item x="5"/>
        <item x="3"/>
        <item x="15"/>
        <item x="21"/>
        <item x="17"/>
        <item x="9"/>
        <item x="8"/>
        <item x="7"/>
        <item x="12"/>
        <item x="11"/>
        <item x="16"/>
        <item x="14"/>
        <item x="2"/>
        <item x="6"/>
        <item x="0"/>
        <item x="19"/>
        <item x="10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compact="0" outline="0" showAll="0">
      <items count="3">
        <item n="Yes" x="0"/>
        <item n="No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8"/>
    <field x="7"/>
    <field x="11"/>
    <field x="14"/>
    <field x="17"/>
    <field x="16"/>
  </rowFields>
  <rowItems count="149">
    <i>
      <x/>
      <x v="3"/>
      <x v="1"/>
      <x v="8"/>
      <x v="23"/>
      <x v="52"/>
    </i>
    <i t="blank" r="2">
      <x v="1"/>
    </i>
    <i r="1">
      <x v="4"/>
      <x v="5"/>
      <x v="1"/>
      <x v="5"/>
      <x v="3"/>
    </i>
    <i r="5">
      <x v="31"/>
    </i>
    <i t="blank" r="2">
      <x v="5"/>
    </i>
    <i r="2">
      <x v="11"/>
      <x v="8"/>
      <x v="23"/>
      <x v="52"/>
    </i>
    <i t="blank" r="2">
      <x v="11"/>
    </i>
    <i r="1">
      <x v="5"/>
      <x/>
      <x v="1"/>
      <x v="18"/>
      <x v="42"/>
    </i>
    <i t="blank" r="2">
      <x/>
    </i>
    <i r="2">
      <x v="1"/>
      <x v="2"/>
      <x v="9"/>
      <x v="18"/>
    </i>
    <i r="3">
      <x v="4"/>
      <x v="9"/>
      <x v="57"/>
    </i>
    <i r="3">
      <x v="8"/>
      <x v="23"/>
      <x v="52"/>
    </i>
    <i t="blank" r="2">
      <x v="1"/>
    </i>
    <i r="2">
      <x v="3"/>
      <x v="7"/>
      <x v="10"/>
      <x v="51"/>
    </i>
    <i t="blank" r="2">
      <x v="3"/>
    </i>
    <i r="2">
      <x v="6"/>
      <x v="4"/>
      <x v="9"/>
      <x v="23"/>
    </i>
    <i t="blank" r="2">
      <x v="6"/>
    </i>
    <i r="2">
      <x v="7"/>
      <x v="2"/>
      <x v="21"/>
      <x v="55"/>
    </i>
    <i r="3">
      <x v="3"/>
      <x v="2"/>
      <x v="38"/>
    </i>
    <i t="blank" r="2">
      <x v="7"/>
    </i>
    <i r="2">
      <x v="11"/>
      <x v="8"/>
      <x v="23"/>
      <x v="52"/>
    </i>
    <i t="blank" r="2">
      <x v="11"/>
    </i>
    <i r="2">
      <x v="12"/>
      <x v="6"/>
      <x v="15"/>
      <x v="19"/>
    </i>
    <i r="4">
      <x v="25"/>
      <x v="49"/>
    </i>
    <i t="blank" r="2">
      <x v="12"/>
    </i>
    <i r="2">
      <x v="13"/>
      <x v="4"/>
      <x v="14"/>
      <x v="15"/>
    </i>
    <i t="blank" r="2">
      <x v="13"/>
    </i>
    <i r="2">
      <x v="14"/>
      <x v="4"/>
      <x v="15"/>
      <x v="22"/>
    </i>
    <i r="4">
      <x v="25"/>
      <x v="49"/>
    </i>
    <i t="blank" r="2">
      <x v="14"/>
    </i>
    <i r="2">
      <x v="15"/>
      <x v="4"/>
      <x v="14"/>
      <x v="15"/>
    </i>
    <i t="blank" r="2">
      <x v="15"/>
    </i>
    <i r="2">
      <x v="16"/>
      <x v="4"/>
      <x v="15"/>
      <x v="22"/>
    </i>
    <i t="blank" r="2">
      <x v="16"/>
    </i>
    <i r="2">
      <x v="18"/>
      <x v="4"/>
      <x v="2"/>
      <x v="46"/>
    </i>
    <i r="3">
      <x v="7"/>
      <x v="16"/>
      <x v="4"/>
    </i>
    <i r="4">
      <x v="22"/>
      <x v="11"/>
    </i>
    <i t="blank" r="2">
      <x v="18"/>
    </i>
    <i r="2">
      <x v="24"/>
      <x v="4"/>
      <x v="17"/>
      <x v="57"/>
    </i>
    <i t="blank" r="2">
      <x v="24"/>
    </i>
    <i r="2">
      <x v="29"/>
      <x v="2"/>
      <x v="2"/>
      <x v="40"/>
    </i>
    <i t="blank" r="2">
      <x v="29"/>
    </i>
    <i r="1">
      <x v="6"/>
      <x/>
      <x v="1"/>
      <x v="18"/>
      <x v="42"/>
    </i>
    <i t="blank" r="2">
      <x/>
    </i>
    <i r="2">
      <x v="1"/>
      <x v="2"/>
      <x v="9"/>
      <x v="23"/>
    </i>
    <i r="3">
      <x v="4"/>
      <x v="9"/>
      <x v="57"/>
    </i>
    <i r="3">
      <x v="8"/>
      <x v="23"/>
      <x v="52"/>
    </i>
    <i t="blank" r="2">
      <x v="1"/>
    </i>
    <i r="2">
      <x v="7"/>
      <x v="2"/>
      <x v="21"/>
      <x v="55"/>
    </i>
    <i r="3">
      <x v="3"/>
      <x v="2"/>
      <x v="38"/>
    </i>
    <i t="blank" r="2">
      <x v="7"/>
    </i>
    <i r="2">
      <x v="10"/>
      <x v="6"/>
      <x v="15"/>
      <x v="22"/>
    </i>
    <i t="blank" r="2">
      <x v="10"/>
    </i>
    <i r="2">
      <x v="11"/>
      <x v="8"/>
      <x v="23"/>
      <x v="52"/>
    </i>
    <i t="blank" r="2">
      <x v="11"/>
    </i>
    <i r="2">
      <x v="12"/>
      <x v="6"/>
      <x v="15"/>
      <x v="19"/>
    </i>
    <i t="blank" r="2">
      <x v="12"/>
    </i>
    <i r="2">
      <x v="15"/>
      <x v="4"/>
      <x v="15"/>
      <x v="19"/>
    </i>
    <i t="blank" r="2">
      <x v="15"/>
    </i>
    <i r="2">
      <x v="18"/>
      <x v="4"/>
      <x v="2"/>
      <x v="46"/>
    </i>
    <i t="blank" r="2">
      <x v="18"/>
    </i>
    <i r="2">
      <x v="21"/>
      <x v="7"/>
      <x v="20"/>
      <x v="30"/>
    </i>
    <i t="blank" r="2">
      <x v="21"/>
    </i>
    <i r="2">
      <x v="22"/>
      <x v="3"/>
      <x v="22"/>
      <x v="37"/>
    </i>
    <i t="blank" r="2">
      <x v="22"/>
    </i>
    <i r="2">
      <x v="24"/>
      <x v="4"/>
      <x v="17"/>
      <x v="57"/>
    </i>
    <i t="blank" r="2">
      <x v="24"/>
    </i>
    <i r="2">
      <x v="25"/>
      <x v="4"/>
      <x v="3"/>
      <x v="12"/>
    </i>
    <i t="blank" r="2">
      <x v="25"/>
    </i>
    <i r="2">
      <x v="29"/>
      <x v="2"/>
      <x v="2"/>
      <x v="40"/>
    </i>
    <i t="blank" r="2">
      <x v="29"/>
    </i>
    <i r="1">
      <x v="7"/>
      <x/>
      <x v="1"/>
      <x v="18"/>
      <x v="42"/>
    </i>
    <i t="blank" r="2">
      <x/>
    </i>
    <i r="2">
      <x v="1"/>
      <x v="2"/>
      <x v="9"/>
      <x v="23"/>
    </i>
    <i r="3">
      <x v="8"/>
      <x v="23"/>
      <x v="52"/>
    </i>
    <i t="blank" r="2">
      <x v="1"/>
    </i>
    <i r="2">
      <x v="4"/>
      <x v="7"/>
      <x v="10"/>
      <x v="51"/>
    </i>
    <i t="blank" r="2">
      <x v="4"/>
    </i>
    <i r="2">
      <x v="6"/>
      <x v="4"/>
      <x v="9"/>
      <x v="23"/>
    </i>
    <i t="blank" r="2">
      <x v="6"/>
    </i>
    <i r="2">
      <x v="7"/>
      <x v="2"/>
      <x v="21"/>
      <x v="55"/>
    </i>
    <i r="3">
      <x v="3"/>
      <x v="2"/>
      <x v="38"/>
    </i>
    <i t="blank" r="2">
      <x v="7"/>
    </i>
    <i r="2">
      <x v="9"/>
      <x v="4"/>
      <x v="15"/>
      <x v="22"/>
    </i>
    <i t="blank" r="2">
      <x v="9"/>
    </i>
    <i r="2">
      <x v="11"/>
      <x v="8"/>
      <x v="23"/>
      <x v="52"/>
    </i>
    <i t="blank" r="2">
      <x v="11"/>
    </i>
    <i r="2">
      <x v="13"/>
      <x v="4"/>
      <x v="14"/>
      <x v="15"/>
    </i>
    <i t="blank" r="2">
      <x v="13"/>
    </i>
    <i r="2">
      <x v="15"/>
      <x v="4"/>
      <x v="14"/>
      <x v="15"/>
    </i>
    <i r="4">
      <x v="15"/>
      <x v="19"/>
    </i>
    <i t="blank" r="2">
      <x v="15"/>
    </i>
    <i r="2">
      <x v="20"/>
      <x v="7"/>
      <x v="19"/>
      <x v="7"/>
    </i>
    <i t="blank" r="2">
      <x v="20"/>
    </i>
    <i r="2">
      <x v="21"/>
      <x v="7"/>
      <x v="20"/>
      <x v="30"/>
    </i>
    <i t="blank" r="2">
      <x v="21"/>
    </i>
    <i r="2">
      <x v="22"/>
      <x v="3"/>
      <x v="22"/>
      <x v="37"/>
    </i>
    <i t="blank" r="2">
      <x v="22"/>
    </i>
    <i r="2">
      <x v="23"/>
      <x v="7"/>
      <x v="11"/>
      <x v="10"/>
    </i>
    <i t="blank" r="2">
      <x v="23"/>
    </i>
    <i r="2">
      <x v="25"/>
      <x v="4"/>
      <x v="3"/>
      <x v="12"/>
    </i>
    <i r="3">
      <x v="5"/>
      <x v="20"/>
      <x v="58"/>
    </i>
    <i t="blank" r="2">
      <x v="25"/>
    </i>
    <i r="2">
      <x v="26"/>
      <x v="4"/>
      <x v="13"/>
      <x v="25"/>
    </i>
    <i t="blank" r="2">
      <x v="26"/>
    </i>
    <i r="2">
      <x v="27"/>
      <x v="4"/>
      <x v="13"/>
      <x v="26"/>
    </i>
    <i t="blank" r="2">
      <x v="27"/>
    </i>
    <i r="2">
      <x v="28"/>
      <x v="4"/>
      <x v="13"/>
      <x v="27"/>
    </i>
    <i t="blank" r="2">
      <x v="28"/>
    </i>
    <i r="1">
      <x v="8"/>
      <x v="1"/>
      <x v="8"/>
      <x v="23"/>
      <x v="52"/>
    </i>
    <i t="blank" r="2">
      <x v="1"/>
    </i>
    <i r="1">
      <x v="9"/>
      <x v="1"/>
      <x v="8"/>
      <x v="23"/>
      <x v="52"/>
    </i>
    <i t="blank" r="2">
      <x v="1"/>
    </i>
    <i r="2">
      <x v="2"/>
      <x/>
      <x/>
      <x v="62"/>
    </i>
    <i t="blank" r="2">
      <x v="2"/>
    </i>
    <i r="2">
      <x v="4"/>
      <x/>
      <x/>
      <x v="62"/>
    </i>
    <i t="blank" r="2">
      <x v="4"/>
    </i>
    <i r="2">
      <x v="11"/>
      <x v="8"/>
      <x v="23"/>
      <x v="52"/>
    </i>
    <i t="blank" r="2">
      <x v="11"/>
    </i>
    <i r="2">
      <x v="15"/>
      <x v="4"/>
      <x v="14"/>
      <x v="15"/>
    </i>
    <i r="4">
      <x v="15"/>
      <x v="19"/>
    </i>
    <i t="blank" r="2">
      <x v="15"/>
    </i>
    <i r="2">
      <x v="18"/>
      <x v="7"/>
      <x v="16"/>
      <x v="4"/>
    </i>
    <i r="4">
      <x v="22"/>
      <x v="11"/>
    </i>
    <i t="blank" r="2">
      <x v="18"/>
    </i>
    <i r="2">
      <x v="20"/>
      <x v="7"/>
      <x v="19"/>
      <x v="7"/>
    </i>
    <i t="blank" r="2">
      <x v="20"/>
    </i>
    <i r="1">
      <x v="10"/>
      <x/>
      <x v="1"/>
      <x v="18"/>
      <x v="42"/>
    </i>
    <i t="blank" r="2">
      <x/>
    </i>
    <i r="2">
      <x v="1"/>
      <x v="8"/>
      <x v="23"/>
      <x v="52"/>
    </i>
    <i t="blank" r="2">
      <x v="1"/>
    </i>
    <i r="2">
      <x v="2"/>
      <x/>
      <x/>
      <x v="62"/>
    </i>
    <i t="blank" r="2">
      <x v="2"/>
    </i>
    <i r="2">
      <x v="7"/>
      <x v="3"/>
      <x v="2"/>
      <x v="38"/>
    </i>
    <i t="blank" r="2">
      <x v="7"/>
    </i>
    <i r="2">
      <x v="8"/>
      <x v="2"/>
      <x v="9"/>
      <x v="28"/>
    </i>
    <i t="blank" r="2">
      <x v="8"/>
    </i>
    <i r="2">
      <x v="11"/>
      <x v="8"/>
      <x v="23"/>
      <x v="52"/>
    </i>
    <i t="blank" r="2">
      <x v="11"/>
    </i>
    <i r="2">
      <x v="16"/>
      <x v="4"/>
      <x v="24"/>
      <x v="53"/>
    </i>
    <i t="blank" r="2">
      <x v="16"/>
    </i>
    <i r="2">
      <x v="17"/>
      <x/>
      <x v="1"/>
      <x v="62"/>
    </i>
    <i t="blank" r="2">
      <x v="17"/>
    </i>
    <i r="2">
      <x v="19"/>
      <x v="2"/>
      <x v="2"/>
      <x v="38"/>
    </i>
    <i t="blank" r="2">
      <x v="19"/>
    </i>
    <i r="2">
      <x v="25"/>
      <x v="4"/>
      <x v="3"/>
      <x v="12"/>
    </i>
    <i t="blank" r="2">
      <x v="25"/>
    </i>
    <i r="1">
      <x v="11"/>
      <x v="6"/>
      <x v="4"/>
      <x v="9"/>
      <x v="23"/>
    </i>
    <i t="blank" r="2">
      <x v="6"/>
    </i>
  </rowItems>
  <colFields count="1">
    <field x="20"/>
  </colFields>
  <colItems count="2">
    <i>
      <x/>
    </i>
    <i>
      <x v="1"/>
    </i>
  </colItems>
  <dataFields count="1">
    <dataField name=" " fld="20" subtotal="count" baseField="22" baseItem="7" numFmtId="164"/>
  </dataFields>
  <formats count="22">
    <format dxfId="35">
      <pivotArea type="all" dataOnly="0" outline="0" fieldPosition="0"/>
    </format>
    <format dxfId="34">
      <pivotArea type="origin" dataOnly="0" labelOnly="1" outline="0" fieldPosition="0"/>
    </format>
    <format dxfId="33">
      <pivotArea field="8" type="button" dataOnly="0" labelOnly="1" outline="0" axis="axisRow" fieldPosition="0"/>
    </format>
    <format dxfId="32">
      <pivotArea field="7" type="button" dataOnly="0" labelOnly="1" outline="0" axis="axisRow" fieldPosition="1"/>
    </format>
    <format dxfId="31">
      <pivotArea field="11" type="button" dataOnly="0" labelOnly="1" outline="0" axis="axisRow" fieldPosition="2"/>
    </format>
    <format dxfId="30">
      <pivotArea field="16" type="button" dataOnly="0" labelOnly="1" outline="0" axis="axisRow" fieldPosition="5"/>
    </format>
    <format dxfId="29">
      <pivotArea dataOnly="0" labelOnly="1" fieldPosition="0">
        <references count="1">
          <reference field="8" count="0"/>
        </references>
      </pivotArea>
    </format>
    <format dxfId="28">
      <pivotArea dataOnly="0" labelOnly="1" outline="0" fieldPosition="0">
        <references count="2">
          <reference field="7" count="9">
            <x v="3"/>
            <x v="4"/>
            <x v="5"/>
            <x v="6"/>
            <x v="7"/>
            <x v="8"/>
            <x v="9"/>
            <x v="10"/>
            <x v="11"/>
          </reference>
          <reference field="8" count="1" selected="0">
            <x v="3"/>
          </reference>
        </references>
      </pivotArea>
    </format>
    <format dxfId="27">
      <pivotArea dataOnly="0" labelOnly="1" fieldPosition="0">
        <references count="3">
          <reference field="7" count="1" selected="0">
            <x v="3"/>
          </reference>
          <reference field="8" count="1" selected="0">
            <x v="3"/>
          </reference>
          <reference field="11" count="3">
            <x v="30"/>
            <x v="33"/>
            <x v="34"/>
          </reference>
        </references>
      </pivotArea>
    </format>
    <format dxfId="26">
      <pivotArea dataOnly="0" labelOnly="1" fieldPosition="0">
        <references count="3">
          <reference field="7" count="1" selected="0">
            <x v="5"/>
          </reference>
          <reference field="8" count="1" selected="0">
            <x v="3"/>
          </reference>
          <reference field="11" count="1">
            <x v="25"/>
          </reference>
        </references>
      </pivotArea>
    </format>
    <format dxfId="25">
      <pivotArea dataOnly="0" labelOnly="1" fieldPosition="0">
        <references count="3">
          <reference field="7" count="1" selected="0">
            <x v="11"/>
          </reference>
          <reference field="8" count="1" selected="0">
            <x v="3"/>
          </reference>
          <reference field="11" count="1">
            <x v="25"/>
          </reference>
        </references>
      </pivotArea>
    </format>
    <format dxfId="24">
      <pivotArea dataOnly="0" labelOnly="1" outline="0" fieldPosition="0">
        <references count="4">
          <reference field="7" count="1" selected="0">
            <x v="3"/>
          </reference>
          <reference field="8" count="1" selected="0">
            <x v="3"/>
          </reference>
          <reference field="11" count="1" selected="0">
            <x v="30"/>
          </reference>
          <reference field="16" count="1">
            <x v="34"/>
          </reference>
        </references>
      </pivotArea>
    </format>
    <format dxfId="23">
      <pivotArea dataOnly="0" labelOnly="1" outline="0" fieldPosition="0">
        <references count="4">
          <reference field="7" count="1" selected="0">
            <x v="3"/>
          </reference>
          <reference field="8" count="1" selected="0">
            <x v="3"/>
          </reference>
          <reference field="11" count="1" selected="0">
            <x v="33"/>
          </reference>
          <reference field="16" count="1">
            <x v="16"/>
          </reference>
        </references>
      </pivotArea>
    </format>
    <format dxfId="22">
      <pivotArea dataOnly="0" labelOnly="1" outline="0" fieldPosition="0">
        <references count="4">
          <reference field="7" count="1" selected="0">
            <x v="3"/>
          </reference>
          <reference field="8" count="1" selected="0">
            <x v="3"/>
          </reference>
          <reference field="11" count="1" selected="0">
            <x v="34"/>
          </reference>
          <reference field="16" count="1">
            <x v="13"/>
          </reference>
        </references>
      </pivotArea>
    </format>
    <format dxfId="21">
      <pivotArea dataOnly="0" labelOnly="1" outline="0" fieldPosition="0">
        <references count="4">
          <reference field="7" count="1" selected="0">
            <x v="5"/>
          </reference>
          <reference field="8" count="1" selected="0">
            <x v="3"/>
          </reference>
          <reference field="11" count="1" selected="0">
            <x v="25"/>
          </reference>
          <reference field="16" count="1">
            <x v="58"/>
          </reference>
        </references>
      </pivotArea>
    </format>
    <format dxfId="20">
      <pivotArea outline="0" collapsedLevelsAreSubtotals="1" fieldPosition="0"/>
    </format>
    <format dxfId="19">
      <pivotArea field="20" type="button" dataOnly="0" labelOnly="1" outline="0" axis="axisCol" fieldPosition="0"/>
    </format>
    <format dxfId="18">
      <pivotArea type="topRight" dataOnly="0" labelOnly="1" outline="0" fieldPosition="0"/>
    </format>
    <format dxfId="17">
      <pivotArea dataOnly="0" labelOnly="1" outline="0" fieldPosition="0">
        <references count="1">
          <reference field="20" count="0"/>
        </references>
      </pivotArea>
    </format>
    <format dxfId="16">
      <pivotArea type="origin" dataOnly="0" labelOnly="1" outline="0" fieldPosition="0"/>
    </format>
    <format dxfId="15">
      <pivotArea dataOnly="0" labelOnly="1" fieldPosition="0">
        <references count="1">
          <reference field="8" count="0"/>
        </references>
      </pivotArea>
    </format>
    <format dxfId="14">
      <pivotArea field="8" type="button" dataOnly="0" labelOnly="1" outline="0" axis="axisRow" fieldPosition="0"/>
    </format>
  </formats>
  <pivotTableStyleInfo name="PivotStyleMedium7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6AD4E3-1B31-471E-9583-674AAE3A106A}" name="PivotTable8" cacheId="116" applyNumberFormats="0" applyBorderFormats="0" applyFontFormats="0" applyPatternFormats="0" applyAlignmentFormats="0" applyWidthHeightFormats="1" dataCaption="Values" updatedVersion="8" minRefreshableVersion="3" showDrill="0" showDataTips="0" enableDrill="0" rowGrandTotals="0" colGrandTotals="0" fieldPrintTitles="1" itemPrintTitles="1" createdVersion="6" indent="0" compact="0" compactData="0" multipleFieldFilters="0" rowHeaderCaption="Technician">
  <location ref="B4:E85" firstHeaderRow="1" firstDataRow="1" firstDataCol="4"/>
  <pivotFields count="46">
    <pivotField compact="0" outline="0" showAll="0"/>
    <pivotField compact="0" outline="0" showAll="0"/>
    <pivotField compact="0" outline="0" showAll="0"/>
    <pivotField compact="0" outline="0" showAll="0"/>
    <pivotField name="Titel / Ort" axis="axisRow" subtotalTop="0" showAll="0" defaultSubtotal="0">
      <items count="33">
        <item m="1" x="27"/>
        <item m="1" x="28"/>
        <item m="1" x="29"/>
        <item m="1" x="30"/>
        <item x="3"/>
        <item m="1" x="20"/>
        <item x="8"/>
        <item m="1" x="18"/>
        <item m="1" x="25"/>
        <item m="1" x="16"/>
        <item m="1" x="17"/>
        <item m="1" x="31"/>
        <item m="1" x="23"/>
        <item m="1" x="32"/>
        <item m="1" x="24"/>
        <item m="1" x="26"/>
        <item x="11"/>
        <item m="1" x="21"/>
        <item m="1" x="22"/>
        <item x="2"/>
        <item x="14"/>
        <item m="1" x="19"/>
        <item x="13"/>
        <item x="0"/>
        <item x="1"/>
        <item x="4"/>
        <item x="5"/>
        <item x="6"/>
        <item x="7"/>
        <item x="9"/>
        <item x="10"/>
        <item x="12"/>
        <item x="15"/>
      </items>
    </pivotField>
    <pivotField compact="0" outline="0" showAll="0"/>
    <pivotField compact="0" outline="0" showAll="0"/>
    <pivotField compact="0" outline="0" showAll="0"/>
    <pivotField axis="axisRow" subtotalTop="0" showAll="0" defaultSubtotal="0">
      <items count="44">
        <item m="1" x="41"/>
        <item m="1" x="42"/>
        <item m="1" x="16"/>
        <item m="1" x="43"/>
        <item m="1" x="27"/>
        <item m="1" x="14"/>
        <item m="1" x="13"/>
        <item x="8"/>
        <item m="1" x="33"/>
        <item m="1" x="34"/>
        <item m="1" x="31"/>
        <item m="1" x="18"/>
        <item m="1" x="35"/>
        <item m="1" x="22"/>
        <item m="1" x="40"/>
        <item m="1" x="11"/>
        <item x="4"/>
        <item x="3"/>
        <item m="1" x="30"/>
        <item x="10"/>
        <item m="1" x="12"/>
        <item m="1" x="26"/>
        <item m="1" x="32"/>
        <item x="7"/>
        <item m="1" x="15"/>
        <item m="1" x="17"/>
        <item m="1" x="23"/>
        <item m="1" x="24"/>
        <item m="1" x="28"/>
        <item m="1" x="20"/>
        <item m="1" x="36"/>
        <item m="1" x="37"/>
        <item m="1" x="38"/>
        <item m="1" x="39"/>
        <item m="1" x="19"/>
        <item m="1" x="21"/>
        <item x="2"/>
        <item x="1"/>
        <item m="1" x="25"/>
        <item m="1" x="29"/>
        <item x="0"/>
        <item x="5"/>
        <item x="6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name="Start time" axis="axisRow" compact="0" numFmtId="22" outline="0" showAll="0" insertBlankRow="1" sortType="ascending" defaultSubtotal="0">
      <items count="99">
        <item m="1" x="95"/>
        <item m="1" x="90"/>
        <item m="1" x="91"/>
        <item m="1" x="66"/>
        <item m="1" x="92"/>
        <item m="1" x="96"/>
        <item m="1" x="85"/>
        <item m="1" x="93"/>
        <item m="1" x="67"/>
        <item m="1" x="98"/>
        <item m="1" x="97"/>
        <item m="1" x="89"/>
        <item m="1" x="68"/>
        <item m="1" x="94"/>
        <item m="1" x="69"/>
        <item m="1" x="87"/>
        <item m="1" x="83"/>
        <item m="1" x="86"/>
        <item m="1" x="71"/>
        <item m="1" x="72"/>
        <item m="1" x="88"/>
        <item m="1" x="74"/>
        <item m="1" x="77"/>
        <item m="1" x="73"/>
        <item m="1" x="75"/>
        <item m="1" x="79"/>
        <item m="1" x="76"/>
        <item m="1" x="82"/>
        <item m="1" x="49"/>
        <item m="1" x="54"/>
        <item m="1" x="55"/>
        <item m="1" x="50"/>
        <item m="1" x="52"/>
        <item m="1" x="63"/>
        <item m="1" x="59"/>
        <item m="1" x="31"/>
        <item m="1" x="60"/>
        <item m="1" x="57"/>
        <item m="1" x="64"/>
        <item m="1" x="62"/>
        <item m="1" x="45"/>
        <item m="1" x="61"/>
        <item m="1" x="46"/>
        <item m="1" x="44"/>
        <item x="0"/>
        <item x="1"/>
        <item x="2"/>
        <item m="1" x="25"/>
        <item x="7"/>
        <item x="11"/>
        <item x="12"/>
        <item x="9"/>
        <item m="1" x="28"/>
        <item x="20"/>
        <item x="16"/>
        <item m="1" x="26"/>
        <item m="1" x="29"/>
        <item m="1" x="33"/>
        <item m="1" x="37"/>
        <item x="19"/>
        <item x="18"/>
        <item m="1" x="32"/>
        <item x="6"/>
        <item x="8"/>
        <item x="22"/>
        <item x="10"/>
        <item m="1" x="34"/>
        <item m="1" x="65"/>
        <item x="21"/>
        <item m="1" x="35"/>
        <item m="1" x="81"/>
        <item m="1" x="80"/>
        <item m="1" x="36"/>
        <item m="1" x="38"/>
        <item x="23"/>
        <item m="1" x="39"/>
        <item m="1" x="41"/>
        <item m="1" x="53"/>
        <item m="1" x="42"/>
        <item m="1" x="40"/>
        <item m="1" x="43"/>
        <item m="1" x="27"/>
        <item m="1" x="78"/>
        <item m="1" x="70"/>
        <item x="4"/>
        <item m="1" x="47"/>
        <item m="1" x="48"/>
        <item m="1" x="51"/>
        <item m="1" x="58"/>
        <item x="13"/>
        <item x="14"/>
        <item x="15"/>
        <item m="1" x="30"/>
        <item x="5"/>
        <item x="3"/>
        <item x="24"/>
        <item m="1" x="84"/>
        <item m="1" x="56"/>
        <item x="17"/>
      </items>
    </pivotField>
    <pivotField name="End time" axis="axisRow" compact="0" numFmtId="20" outline="0" showAll="0" defaultSubtotal="0">
      <items count="101">
        <item m="1" x="92"/>
        <item m="1" x="93"/>
        <item m="1" x="94"/>
        <item m="1" x="95"/>
        <item m="1" x="96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31"/>
        <item m="1" x="97"/>
        <item m="1" x="32"/>
        <item m="1" x="33"/>
        <item m="1" x="98"/>
        <item m="1" x="79"/>
        <item m="1" x="34"/>
        <item m="1" x="99"/>
        <item m="1" x="100"/>
        <item m="1" x="80"/>
        <item m="1" x="67"/>
        <item m="1" x="68"/>
        <item m="1" x="69"/>
        <item m="1" x="35"/>
        <item m="1" x="81"/>
        <item m="1" x="82"/>
        <item m="1" x="36"/>
        <item m="1" x="83"/>
        <item m="1" x="84"/>
        <item m="1" x="37"/>
        <item m="1" x="85"/>
        <item m="1" x="38"/>
        <item m="1" x="86"/>
        <item m="1" x="39"/>
        <item m="1" x="87"/>
        <item m="1" x="88"/>
        <item m="1" x="89"/>
        <item m="1" x="40"/>
        <item m="1" x="41"/>
        <item m="1" x="42"/>
        <item m="1" x="90"/>
        <item m="1" x="91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x="0"/>
        <item x="1"/>
        <item x="2"/>
        <item x="3"/>
        <item x="4"/>
        <item x="5"/>
        <item m="1" x="25"/>
        <item x="7"/>
        <item m="1" x="26"/>
        <item x="9"/>
        <item m="1" x="27"/>
        <item x="11"/>
        <item x="12"/>
        <item x="13"/>
        <item x="14"/>
        <item x="15"/>
        <item x="16"/>
        <item x="17"/>
        <item m="1" x="28"/>
        <item m="1" x="29"/>
        <item x="20"/>
        <item m="1" x="30"/>
        <item x="6"/>
        <item x="8"/>
        <item x="10"/>
        <item x="18"/>
        <item x="19"/>
        <item x="21"/>
        <item x="22"/>
        <item x="23"/>
        <item x="24"/>
      </items>
    </pivotField>
    <pivotField compact="0" outline="0" showAll="0"/>
    <pivotField compact="0" outline="0" showAll="0"/>
    <pivotField compact="0" outline="0" showAll="0"/>
    <pivotField compact="0" outline="0" showAll="0"/>
    <pivotField name="Prüfer  " axis="axisRow" compact="0" outline="0" showAll="0" insertBlankRow="1" insertPageBreak="1" sortType="ascending" defaultSubtotal="0">
      <items count="5">
        <item n=" " x="2"/>
        <item m="1" x="4"/>
        <item m="1" x="3"/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5">
    <field x="17"/>
    <field x="11"/>
    <field x="12"/>
    <field x="4"/>
    <field x="8"/>
  </rowFields>
  <rowItems count="81">
    <i>
      <x/>
      <x v="64"/>
      <x v="98"/>
      <x v="22"/>
    </i>
    <i r="4">
      <x v="19"/>
    </i>
    <i t="blank" r="1">
      <x v="64"/>
    </i>
    <i r="1">
      <x v="74"/>
      <x v="99"/>
      <x v="20"/>
    </i>
    <i r="4">
      <x v="36"/>
    </i>
    <i t="blank" r="1">
      <x v="74"/>
    </i>
    <i r="1">
      <x v="84"/>
      <x v="74"/>
      <x v="24"/>
    </i>
    <i r="4">
      <x v="37"/>
    </i>
    <i t="blank" r="1">
      <x v="84"/>
    </i>
    <i r="1">
      <x v="89"/>
      <x v="83"/>
      <x v="6"/>
    </i>
    <i r="4">
      <x v="23"/>
    </i>
    <i t="blank" r="1">
      <x v="89"/>
    </i>
    <i r="1">
      <x v="90"/>
      <x v="84"/>
      <x v="4"/>
    </i>
    <i r="4">
      <x v="16"/>
    </i>
    <i t="blank" r="1">
      <x v="90"/>
    </i>
    <i r="1">
      <x v="91"/>
      <x v="85"/>
      <x v="4"/>
    </i>
    <i r="4">
      <x v="16"/>
    </i>
    <i t="blank" r="1">
      <x v="91"/>
    </i>
    <i r="1">
      <x v="93"/>
      <x v="75"/>
      <x v="25"/>
    </i>
    <i r="4">
      <x v="17"/>
    </i>
    <i t="blank" r="1">
      <x v="93"/>
    </i>
    <i r="1">
      <x v="94"/>
      <x v="73"/>
      <x v="4"/>
    </i>
    <i r="4">
      <x v="36"/>
    </i>
    <i r="3">
      <x v="6"/>
    </i>
    <i r="4">
      <x v="37"/>
    </i>
    <i r="3">
      <x v="24"/>
    </i>
    <i r="4">
      <x v="37"/>
    </i>
    <i t="blank" r="1">
      <x v="94"/>
    </i>
    <i r="1">
      <x v="95"/>
      <x v="100"/>
      <x v="32"/>
    </i>
    <i r="4">
      <x v="16"/>
    </i>
    <i t="blank" r="1">
      <x v="95"/>
    </i>
    <i r="1">
      <x v="98"/>
      <x v="87"/>
      <x v="16"/>
    </i>
    <i r="4">
      <x v="7"/>
    </i>
    <i t="blank" r="1">
      <x v="98"/>
    </i>
    <i>
      <x v="3"/>
      <x v="44"/>
      <x v="70"/>
      <x v="23"/>
    </i>
    <i r="4">
      <x v="40"/>
    </i>
    <i t="blank" r="1">
      <x v="44"/>
    </i>
    <i r="1">
      <x v="48"/>
      <x v="77"/>
      <x v="27"/>
    </i>
    <i r="4">
      <x v="16"/>
    </i>
    <i t="blank" r="1">
      <x v="48"/>
    </i>
    <i r="1">
      <x v="49"/>
      <x v="81"/>
      <x v="19"/>
    </i>
    <i r="4">
      <x v="42"/>
    </i>
    <i r="3">
      <x v="30"/>
    </i>
    <i r="4">
      <x v="42"/>
    </i>
    <i t="blank" r="1">
      <x v="49"/>
    </i>
    <i r="1">
      <x v="50"/>
      <x v="82"/>
      <x v="24"/>
    </i>
    <i r="4">
      <x v="42"/>
    </i>
    <i t="blank" r="1">
      <x v="50"/>
    </i>
    <i r="1">
      <x v="51"/>
      <x v="79"/>
      <x v="19"/>
    </i>
    <i r="4">
      <x v="16"/>
    </i>
    <i t="blank" r="1">
      <x v="51"/>
    </i>
    <i>
      <x v="4"/>
      <x v="45"/>
      <x v="71"/>
      <x v="24"/>
    </i>
    <i r="4">
      <x v="37"/>
    </i>
    <i t="blank" r="1">
      <x v="45"/>
    </i>
    <i r="1">
      <x v="46"/>
      <x v="72"/>
      <x v="19"/>
    </i>
    <i r="4">
      <x v="37"/>
    </i>
    <i t="blank" r="1">
      <x v="46"/>
    </i>
    <i r="1">
      <x v="53"/>
      <x v="90"/>
      <x v="29"/>
    </i>
    <i r="4">
      <x v="41"/>
    </i>
    <i t="blank" r="1">
      <x v="53"/>
    </i>
    <i r="1">
      <x v="54"/>
      <x v="86"/>
      <x v="23"/>
    </i>
    <i r="4">
      <x v="16"/>
    </i>
    <i t="blank" r="1">
      <x v="54"/>
    </i>
    <i r="1">
      <x v="59"/>
      <x v="96"/>
      <x v="19"/>
    </i>
    <i r="4">
      <x v="16"/>
    </i>
    <i t="blank" r="1">
      <x v="59"/>
    </i>
    <i r="1">
      <x v="60"/>
      <x v="95"/>
      <x v="24"/>
    </i>
    <i r="4">
      <x v="42"/>
    </i>
    <i t="blank" r="1">
      <x v="60"/>
    </i>
    <i r="1">
      <x v="62"/>
      <x v="92"/>
      <x v="26"/>
    </i>
    <i r="4">
      <x v="37"/>
    </i>
    <i t="blank" r="1">
      <x v="62"/>
    </i>
    <i r="1">
      <x v="63"/>
      <x v="93"/>
      <x v="28"/>
    </i>
    <i r="4">
      <x v="37"/>
    </i>
    <i t="blank" r="1">
      <x v="63"/>
    </i>
    <i r="1">
      <x v="65"/>
      <x v="94"/>
      <x v="29"/>
    </i>
    <i r="4">
      <x v="41"/>
    </i>
    <i t="blank" r="1">
      <x v="65"/>
    </i>
    <i r="1">
      <x v="68"/>
      <x v="97"/>
      <x v="31"/>
    </i>
    <i r="4">
      <x v="43"/>
    </i>
    <i t="blank" r="1">
      <x v="68"/>
    </i>
  </rowItems>
  <colItems count="1">
    <i/>
  </colItems>
  <formats count="3">
    <format dxfId="13">
      <pivotArea field="11" type="button" dataOnly="0" labelOnly="1" outline="0" axis="axisRow" fieldPosition="1"/>
    </format>
    <format dxfId="12">
      <pivotArea field="17" type="button" dataOnly="0" labelOnly="1" outline="0" axis="axisRow" fieldPosition="0"/>
    </format>
    <format dxfId="11">
      <pivotArea field="4" type="button" dataOnly="0" labelOnly="1" outline="0" axis="axisRow" fieldPosition="3"/>
    </format>
  </formats>
  <pivotTableStyleInfo name="PivotStyleMedium14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C13BFF-AACD-41F9-B353-7B62DC9C9423}" name="PivotTable6" cacheId="116" applyNumberFormats="0" applyBorderFormats="0" applyFontFormats="0" applyPatternFormats="0" applyAlignmentFormats="0" applyWidthHeightFormats="1" dataCaption="Werte" updatedVersion="8" minRefreshableVersion="3" enableDrill="0" rowGrandTotals="0" itemPrintTitles="1" createdVersion="6" indent="0" outline="1" outlineData="1" multipleFieldFilters="0" chartFormat="4" rowHeaderCaption="Jahr / Monat">
  <location ref="R7:R8" firstHeaderRow="1" firstDataRow="1" firstDataCol="0"/>
  <pivotFields count="46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2" showAll="0"/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Number" fld="1" subtotal="count" baseField="0" baseItem="0"/>
  </dataFields>
  <formats count="1">
    <format dxfId="4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MyPivorTableForma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C314DA-B1F0-4EC3-9596-41C2343E02E0}" name="PivotTable1" cacheId="108" applyNumberFormats="0" applyBorderFormats="0" applyFontFormats="0" applyPatternFormats="0" applyAlignmentFormats="0" applyWidthHeightFormats="1" dataCaption="Values" updatedVersion="8" minRefreshableVersion="3" enableDrill="0" rowGrandTotals="0" colGrandTotals="0" itemPrintTitles="1" createdVersion="6" indent="0" outline="1" outlineData="1" multipleFieldFilters="0" chartFormat="8" rowHeaderCaption="Year">
  <location ref="A7:B12" firstHeaderRow="1" firstDataRow="1" firstDataCol="1"/>
  <pivotFields count="25">
    <pivotField dataField="1" showAll="0"/>
    <pivotField showAll="0"/>
    <pivotField showAll="0"/>
    <pivotField showAll="0"/>
    <pivotField showAll="0"/>
    <pivotField showAll="0"/>
    <pivotField numFmtId="22" showAll="0"/>
    <pivotField showAll="0"/>
    <pivotField axis="axisRow" showAll="0" sortType="ascending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Number" fld="0" subtotal="count" baseField="5" baseItem="0"/>
  </dataFields>
  <formats count="1">
    <format dxfId="5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MyPivorTableForma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0AC17F-BF90-4638-AA36-663F039916A6}" name="PivotTable5" cacheId="108" applyNumberFormats="0" applyBorderFormats="0" applyFontFormats="0" applyPatternFormats="0" applyAlignmentFormats="0" applyWidthHeightFormats="1" dataCaption="Values" updatedVersion="8" minRefreshableVersion="3" enableDrill="0" rowGrandTotals="0" colGrandTotals="0" itemPrintTitles="1" createdVersion="6" indent="0" outline="1" outlineData="1" multipleFieldFilters="0" chartFormat="6" rowHeaderCaption="Year / Month" colHeaderCaption="Number">
  <location ref="N6:P17" firstHeaderRow="1" firstDataRow="2" firstDataCol="1"/>
  <pivotFields count="25">
    <pivotField showAll="0"/>
    <pivotField showAll="0"/>
    <pivotField showAll="0"/>
    <pivotField showAll="0"/>
    <pivotField showAll="0"/>
    <pivotField showAll="0"/>
    <pivotField numFmtId="22" showAll="0"/>
    <pivotField axis="axisRow" showAll="0" sortType="ascending">
      <items count="13">
        <item x="7"/>
        <item x="6"/>
        <item x="5"/>
        <item x="4"/>
        <item x="3"/>
        <item x="2"/>
        <item n="1" x="8"/>
        <item n="10 Okt" x="11"/>
        <item n="11 Nov" x="9"/>
        <item n="12 Dez" x="10"/>
        <item n="8" x="0"/>
        <item n="9" x="1"/>
        <item t="default"/>
      </items>
    </pivotField>
    <pivotField axis="axisRow" showAll="0">
      <items count="6">
        <item h="1" x="3"/>
        <item h="1" x="2"/>
        <item h="1" x="1"/>
        <item h="1" x="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3">
        <item n="sent" x="0"/>
        <item n="not sent" x="1"/>
        <item t="default"/>
      </items>
    </pivotField>
    <pivotField showAll="0"/>
    <pivotField showAll="0"/>
  </pivotFields>
  <rowFields count="2">
    <field x="8"/>
    <field x="7"/>
  </rowFields>
  <rowItems count="10"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10"/>
    </i>
    <i r="1">
      <x v="11"/>
    </i>
  </rowItems>
  <colFields count="1">
    <field x="22"/>
  </colFields>
  <colItems count="2">
    <i>
      <x/>
    </i>
    <i>
      <x v="1"/>
    </i>
  </colItems>
  <dataFields count="1">
    <dataField name=" " fld="22" subtotal="count" baseField="0" baseItem="0"/>
  </dataFields>
  <formats count="2">
    <format dxfId="7">
      <pivotArea dataOnly="0" labelOnly="1" fieldPosition="0">
        <references count="1">
          <reference field="22" count="1">
            <x v="0"/>
          </reference>
        </references>
      </pivotArea>
    </format>
    <format dxfId="6">
      <pivotArea dataOnly="0" labelOnly="1" fieldPosition="0">
        <references count="1">
          <reference field="22" count="1">
            <x v="1"/>
          </reference>
        </references>
      </pivotArea>
    </format>
  </formats>
  <chartFormats count="1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</chartFormats>
  <pivotTableStyleInfo name="MyPivorTableForma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B50826-0173-43EE-9154-9E3CA50F6F0D}" name="PivotTable4" cacheId="108" applyNumberFormats="0" applyBorderFormats="0" applyFontFormats="0" applyPatternFormats="0" applyAlignmentFormats="0" applyWidthHeightFormats="1" dataCaption="Values" updatedVersion="8" minRefreshableVersion="3" enableDrill="0" rowGrandTotals="0" colGrandTotals="0" itemPrintTitles="1" createdVersion="6" indent="0" outline="1" outlineData="1" multipleFieldFilters="0" chartFormat="13" rowHeaderCaption="Year / Month" colHeaderCaption="Number">
  <location ref="J6:L49" firstHeaderRow="1" firstDataRow="2" firstDataCol="1"/>
  <pivotFields count="25">
    <pivotField dataField="1" showAll="0"/>
    <pivotField showAll="0"/>
    <pivotField showAll="0"/>
    <pivotField showAll="0"/>
    <pivotField showAll="0"/>
    <pivotField showAll="0"/>
    <pivotField numFmtId="22" showAll="0"/>
    <pivotField axis="axisRow" numFmtId="165" showAll="0" sortType="ascending">
      <items count="13">
        <item n="01" x="8"/>
        <item n="02" x="7"/>
        <item n="03" x="6"/>
        <item n="04" x="5"/>
        <item n="05" x="4"/>
        <item n="06" x="3"/>
        <item n="07" x="2"/>
        <item n="08" x="0"/>
        <item n="09" x="1"/>
        <item n="10" x="11"/>
        <item n="11" x="9"/>
        <item n="12" x="10"/>
        <item t="default"/>
      </items>
    </pivotField>
    <pivotField axis="axisRow" showAll="0" sortType="ascending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 sortType="descending">
      <items count="3">
        <item x="0"/>
        <item n="approved" x="1"/>
        <item t="default"/>
      </items>
    </pivotField>
    <pivotField showAll="0"/>
    <pivotField showAll="0"/>
    <pivotField showAll="0"/>
  </pivotFields>
  <rowFields count="2">
    <field x="8"/>
    <field x="7"/>
  </rowFields>
  <rowItems count="42">
    <i>
      <x/>
    </i>
    <i r="1">
      <x v="11"/>
    </i>
    <i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</rowItems>
  <colFields count="1">
    <field x="21"/>
  </colFields>
  <colItems count="2">
    <i>
      <x/>
    </i>
    <i>
      <x v="1"/>
    </i>
  </colItems>
  <dataFields count="1">
    <dataField name=" " fld="0" subtotal="count" baseField="5" baseItem="0"/>
  </dataFields>
  <formats count="1">
    <format dxfId="8">
      <pivotArea dataOnly="0" labelOnly="1" fieldPosition="0">
        <references count="1">
          <reference field="21" count="1">
            <x v="1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5" format="6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6" format="8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MyPivorTableForma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8EB058-3C2C-4017-B010-FBA10A0389F0}" name="PivotTable3" cacheId="108" applyNumberFormats="0" applyBorderFormats="0" applyFontFormats="0" applyPatternFormats="0" applyAlignmentFormats="0" applyWidthHeightFormats="1" dataCaption="Values" updatedVersion="8" minRefreshableVersion="3" enableDrill="0" rowGrandTotals="0" colGrandTotals="0" itemPrintTitles="1" createdVersion="6" indent="0" outline="1" outlineData="1" multipleFieldFilters="0" chartFormat="8" rowHeaderCaption="Year / technician">
  <location ref="G7:H23" firstHeaderRow="1" firstDataRow="1" firstDataCol="1"/>
  <pivotFields count="25">
    <pivotField dataField="1" showAll="0"/>
    <pivotField showAll="0"/>
    <pivotField showAll="0"/>
    <pivotField showAll="0"/>
    <pivotField showAll="0"/>
    <pivotField axis="axisRow" showAll="0" sortType="ascending">
      <items count="7">
        <item x="3"/>
        <item x="1"/>
        <item x="2"/>
        <item x="5"/>
        <item x="0"/>
        <item x="4"/>
        <item t="default"/>
      </items>
    </pivotField>
    <pivotField numFmtId="22" showAll="0"/>
    <pivotField showAll="0"/>
    <pivotField axis="axisRow" showAll="0" sortType="ascending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8"/>
    <field x="5"/>
  </rowFields>
  <rowItems count="16">
    <i>
      <x/>
    </i>
    <i r="1">
      <x v="4"/>
    </i>
    <i>
      <x v="1"/>
    </i>
    <i r="1">
      <x/>
    </i>
    <i r="1">
      <x v="1"/>
    </i>
    <i r="1">
      <x v="3"/>
    </i>
    <i r="1">
      <x v="4"/>
    </i>
    <i r="1">
      <x v="5"/>
    </i>
    <i>
      <x v="2"/>
    </i>
    <i r="1">
      <x v="4"/>
    </i>
    <i>
      <x v="3"/>
    </i>
    <i r="1">
      <x v="1"/>
    </i>
    <i r="1">
      <x v="2"/>
    </i>
    <i r="1">
      <x v="4"/>
    </i>
    <i>
      <x v="4"/>
    </i>
    <i r="1">
      <x v="4"/>
    </i>
  </rowItems>
  <colItems count="1">
    <i/>
  </colItems>
  <dataFields count="1">
    <dataField name="Number" fld="0" subtotal="count" baseField="5" baseItem="0"/>
  </dataFields>
  <formats count="1">
    <format dxfId="9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MyPivorTableForma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F93601-7B2A-4C4A-A6E5-FE5558C35407}" name="PivotTable2" cacheId="108" applyNumberFormats="0" applyBorderFormats="0" applyFontFormats="0" applyPatternFormats="0" applyAlignmentFormats="0" applyWidthHeightFormats="1" dataCaption="Values" updatedVersion="8" minRefreshableVersion="3" enableDrill="0" rowGrandTotals="0" colGrandTotals="0" itemPrintTitles="1" createdVersion="6" indent="0" outline="1" outlineData="1" multipleFieldFilters="0" chartFormat="15" rowHeaderCaption="Badge">
  <location ref="D7:E9" firstHeaderRow="1" firstDataRow="1" firstDataCol="1" rowPageCount="1" colPageCount="1"/>
  <pivotFields count="25">
    <pivotField showAll="0"/>
    <pivotField showAll="0"/>
    <pivotField showAll="0"/>
    <pivotField showAll="0"/>
    <pivotField showAll="0"/>
    <pivotField showAll="0"/>
    <pivotField numFmtId="22" showAll="0"/>
    <pivotField showAll="0"/>
    <pivotField name="Year" axis="axisPage" showAll="0">
      <items count="6">
        <item x="3"/>
        <item x="2"/>
        <item x="1"/>
        <item x="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n="assigned" x="0"/>
        <item n="not assigned" x="1"/>
        <item t="default"/>
      </items>
    </pivotField>
    <pivotField showAll="0"/>
    <pivotField showAll="0"/>
    <pivotField showAll="0"/>
    <pivotField showAll="0"/>
  </pivotFields>
  <rowFields count="1">
    <field x="20"/>
  </rowFields>
  <rowItems count="2">
    <i>
      <x/>
    </i>
    <i>
      <x v="1"/>
    </i>
  </rowItems>
  <colItems count="1">
    <i/>
  </colItems>
  <pageFields count="1">
    <pageField fld="8" item="4" hier="-1"/>
  </pageFields>
  <dataFields count="1">
    <dataField name="Number" fld="20" subtotal="count" baseField="0" baseItem="0"/>
  </dataFields>
  <formats count="1">
    <format dxfId="10">
      <pivotArea dataOnly="0" labelOnly="1" outline="0" axis="axisValues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8" format="19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</chartFormats>
  <pivotTableStyleInfo name="MyPivorTableForma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1EB8F018-5F57-4CC4-BF55-082153F858AD}" autoFormatId="16" applyNumberFormats="0" applyBorderFormats="0" applyFontFormats="0" applyPatternFormats="0" applyAlignmentFormats="0" applyWidthHeightFormats="0">
  <queryTableRefresh nextId="100">
    <queryTableFields count="25">
      <queryTableField id="2" name="Id" tableColumnId="2"/>
      <queryTableField id="38" name="Serviceart" tableColumnId="38"/>
      <queryTableField id="65" name="ServiceartText" tableColumnId="64"/>
      <queryTableField id="66" name="ChecklisteText" tableColumnId="65"/>
      <queryTableField id="7" name="KEY" tableColumnId="7"/>
      <queryTableField id="8" name="Pruefer" tableColumnId="8"/>
      <queryTableField id="9" name="Pruefdatum" tableColumnId="9"/>
      <queryTableField id="10" name="Pruefmonat" tableColumnId="10"/>
      <queryTableField id="11" name="Pruefjahr" tableColumnId="11"/>
      <queryTableField id="67" name="DauerInMin0" tableColumnId="66"/>
      <queryTableField id="12" name="Kunden-Nr" tableColumnId="12"/>
      <queryTableField id="13" name="Kunde" tableColumnId="13"/>
      <queryTableField id="21" name="MA INV-Nr" tableColumnId="21"/>
      <queryTableField id="39" name="Geraetetyp" tableColumnId="39"/>
      <queryTableField id="69" name="GeraetetypText" tableColumnId="68"/>
      <queryTableField id="22" name="Inventarart" tableColumnId="22"/>
      <queryTableField id="23" name="Geraeteart" tableColumnId="23"/>
      <queryTableField id="24" name="Hersteller" tableColumnId="24"/>
      <queryTableField id="48" name="Maengelklasse" tableColumnId="48"/>
      <queryTableField id="49" name="MaengelklasseText" tableColumnId="49"/>
      <queryTableField id="29" name="Plakette erteilt" tableColumnId="29"/>
      <queryTableField id="32" name="Genehmigt" tableColumnId="32"/>
      <queryTableField id="33" name="Gesendet" tableColumnId="33"/>
      <queryTableField id="96" name="MyVersion" tableColumnId="73"/>
      <queryTableField id="72" name="DauerInMin" tableColumnId="7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A2443538-DE62-43D0-81FA-F8BEFAEDF230}" autoFormatId="16" applyNumberFormats="0" applyBorderFormats="0" applyFontFormats="0" applyPatternFormats="0" applyAlignmentFormats="0" applyWidthHeightFormats="0">
  <queryTableRefresh nextId="78">
    <queryTableFields count="46">
      <queryTableField id="1" name="FileSystemObjectType" tableColumnId="1"/>
      <queryTableField id="2" name="Id" tableColumnId="2"/>
      <queryTableField id="3" name="ServerRedirectedEmbedUri" tableColumnId="3"/>
      <queryTableField id="4" name="ServerRedirectedEmbedUrl" tableColumnId="4"/>
      <queryTableField id="6" name="Title" tableColumnId="6"/>
      <queryTableField id="9" name="Serviceart" tableColumnId="9"/>
      <queryTableField id="46" name="Inventarart" tableColumnId="46"/>
      <queryTableField id="10" name="Reminder" tableColumnId="10"/>
      <queryTableField id="11" name="Ort" tableColumnId="11"/>
      <queryTableField id="12" name="GPSLocation" tableColumnId="12"/>
      <queryTableField id="13" name="SharedCalendarId" tableColumnId="13"/>
      <queryTableField id="14" name="Anfangszeit" tableColumnId="14"/>
      <queryTableField id="15" name="Endzeit" tableColumnId="15"/>
      <queryTableField id="16" name="TeilnehmerId" tableColumnId="16"/>
      <queryTableField id="17" name="TeilnehmerStringId" tableColumnId="17"/>
      <queryTableField id="18" name="PrueferId" tableColumnId="18"/>
      <queryTableField id="19" name="PrueferStringId" tableColumnId="19"/>
      <queryTableField id="20" name="PrueferName" tableColumnId="20"/>
      <queryTableField id="21" name="Beschreibung" tableColumnId="21"/>
      <queryTableField id="22" name="KDNR" tableColumnId="22"/>
      <queryTableField id="23" name="INVNR" tableColumnId="23"/>
      <queryTableField id="24" name="SammelINVNR" tableColumnId="24"/>
      <queryTableField id="25" name="FlagGroup" tableColumnId="25"/>
      <queryTableField id="26" name="GeraetetypCode" tableColumnId="26"/>
      <queryTableField id="27" name="AbweichendeLieferanschrift" tableColumnId="27"/>
      <queryTableField id="28" name="Pruefungshistorie" tableColumnId="28"/>
      <queryTableField id="29" name="HISTORIEDE" tableColumnId="29"/>
      <queryTableField id="30" name="HISTORIEEN" tableColumnId="30"/>
      <queryTableField id="31" name="PruefdatenGefunden" tableColumnId="31"/>
      <queryTableField id="32" name="PruefberichtGefunden" tableColumnId="32"/>
      <queryTableField id="33" name="PruefberichtGenehmigt" tableColumnId="33"/>
      <queryTableField id="34" name="KDAUFNR" tableColumnId="34"/>
      <queryTableField id="35" name="KDAUFDATUM" tableColumnId="35"/>
      <queryTableField id="36" name="KDAUFKONTAKT" tableColumnId="36"/>
      <queryTableField id="37" name="KEY" tableColumnId="37"/>
      <queryTableField id="5" name="ContentTypeId" tableColumnId="5"/>
      <queryTableField id="7" name="OData__ColorTag" tableColumnId="7"/>
      <queryTableField id="8" name="ComplianceAssetId" tableColumnId="8"/>
      <queryTableField id="38" name="ID" tableColumnId="38"/>
      <queryTableField id="39" name="Modified" tableColumnId="39"/>
      <queryTableField id="40" name="Created" tableColumnId="40"/>
      <queryTableField id="41" name="AuthorId" tableColumnId="41"/>
      <queryTableField id="42" name="EditorId" tableColumnId="42"/>
      <queryTableField id="43" name="OData__UIVersionString" tableColumnId="43"/>
      <queryTableField id="44" name="Attachments" tableColumnId="44"/>
      <queryTableField id="45" name="GUID" tableColumnId="4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9E1347-3269-4D1A-B2F2-997263D80673}" name="AllServiceberichte" displayName="AllServiceberichte" ref="A1:Y570" tableType="queryTable" totalsRowShown="0">
  <autoFilter ref="A1:Y570" xr:uid="{D79E1347-3269-4D1A-B2F2-997263D80673}"/>
  <sortState xmlns:xlrd2="http://schemas.microsoft.com/office/spreadsheetml/2017/richdata2" ref="A2:Y570">
    <sortCondition descending="1" ref="A1:A570"/>
  </sortState>
  <tableColumns count="25">
    <tableColumn id="2" xr3:uid="{03017FF8-3A55-4895-97DE-67B56ACC3AF1}" uniqueName="2" name="Id" queryTableFieldId="2"/>
    <tableColumn id="38" xr3:uid="{B5192FA3-AD4B-456A-9C6A-911591073190}" uniqueName="38" name="Serviceart" queryTableFieldId="38"/>
    <tableColumn id="64" xr3:uid="{F1E25509-BCCA-4A7F-AF2E-F46D148ECBE0}" uniqueName="64" name="ServiceartText" queryTableFieldId="65"/>
    <tableColumn id="65" xr3:uid="{32D2B995-86CE-4ACC-A6F0-42C1E444BA1C}" uniqueName="65" name="ChecklisteText" queryTableFieldId="66"/>
    <tableColumn id="7" xr3:uid="{73B08A5A-5700-4CA5-A4B9-EBC55D750294}" uniqueName="7" name="KEY" queryTableFieldId="7"/>
    <tableColumn id="8" xr3:uid="{499DDBFA-7F01-4E8E-8067-5C923E8AF223}" uniqueName="8" name="Pruefer" queryTableFieldId="8"/>
    <tableColumn id="9" xr3:uid="{CA1FB8DD-3C2D-4B19-A74B-7ED8EF147315}" uniqueName="9" name="Pruefdatum" queryTableFieldId="9" dataDxfId="2"/>
    <tableColumn id="10" xr3:uid="{46FB56C8-A0B1-42BD-A8ED-F7EECBD5180A}" uniqueName="10" name="Pruefmonat" queryTableFieldId="10"/>
    <tableColumn id="11" xr3:uid="{10F385D8-CD3D-4EC3-AFE4-A3689935005A}" uniqueName="11" name="Pruefjahr" queryTableFieldId="11"/>
    <tableColumn id="66" xr3:uid="{59601056-2F73-4DAD-814A-7FEC8924F452}" uniqueName="66" name="DauerInMin0" queryTableFieldId="67" dataDxfId="1"/>
    <tableColumn id="12" xr3:uid="{0CFE498C-3761-4660-9202-DE7D5EEE9FEB}" uniqueName="12" name="Kunden-Nr" queryTableFieldId="12"/>
    <tableColumn id="13" xr3:uid="{15BC30D2-DBFD-4E5B-9918-6665FA9455A3}" uniqueName="13" name="Kunde" queryTableFieldId="13"/>
    <tableColumn id="21" xr3:uid="{686DB088-999B-451E-9CF9-1F0B77BE1BCB}" uniqueName="21" name="MA INV-Nr" queryTableFieldId="21"/>
    <tableColumn id="39" xr3:uid="{23BD100F-8852-4DE2-A633-E185CAA4F937}" uniqueName="39" name="Geraetetyp" queryTableFieldId="39"/>
    <tableColumn id="68" xr3:uid="{74725139-E28A-4FAC-8CE2-E942DD5FBCD4}" uniqueName="68" name="GeraetetypText" queryTableFieldId="69"/>
    <tableColumn id="22" xr3:uid="{6EA6ECD1-582C-400A-80C1-206989B743A8}" uniqueName="22" name="Inventarart" queryTableFieldId="22"/>
    <tableColumn id="23" xr3:uid="{9D25D0EB-B40A-443B-A969-66A05CDBB32E}" uniqueName="23" name="Geraeteart" queryTableFieldId="23"/>
    <tableColumn id="24" xr3:uid="{BF9BDED8-019E-4DF2-B9E1-623DA5A45F62}" uniqueName="24" name="Hersteller" queryTableFieldId="24"/>
    <tableColumn id="48" xr3:uid="{649B42CA-4AEE-4EB7-8C10-15372022A857}" uniqueName="48" name="Maengelklasse" queryTableFieldId="48"/>
    <tableColumn id="49" xr3:uid="{98E9E440-C27A-47B5-A5B7-0D5558BB8BA7}" uniqueName="49" name="MaengelklasseText" queryTableFieldId="49"/>
    <tableColumn id="29" xr3:uid="{CA80E13A-B2E8-4F58-BA49-47450E6EA48E}" uniqueName="29" name="Plakette erteilt" queryTableFieldId="29"/>
    <tableColumn id="32" xr3:uid="{349E4A2D-2C3A-4942-A990-4DF1D6656B1A}" uniqueName="32" name="Genehmigt" queryTableFieldId="32"/>
    <tableColumn id="33" xr3:uid="{1A760531-74FC-4A8C-8FB2-121D9DA18D8B}" uniqueName="33" name="Gesendet" queryTableFieldId="33"/>
    <tableColumn id="73" xr3:uid="{8F8A0E07-073A-4F95-815A-0E8CF9104172}" uniqueName="73" name="MyVersion" queryTableFieldId="96"/>
    <tableColumn id="71" xr3:uid="{91CC5125-0042-4221-AC58-6FF3873E9DCA}" uniqueName="71" name="DauerInMin" queryTableFieldId="72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5AAD71-E7EE-4DC9-8BBE-3149F462745E}" name="AllServiceauftraege" displayName="AllServiceauftraege" ref="A1:AT29" tableType="queryTable" totalsRowShown="0">
  <autoFilter ref="A1:AT29" xr:uid="{C25AAD71-E7EE-4DC9-8BBE-3149F462745E}"/>
  <tableColumns count="46">
    <tableColumn id="1" xr3:uid="{A9C7A0CC-FD1D-4C85-AB32-7D5BC6A9EF86}" uniqueName="1" name="FileSystemObjectType" queryTableFieldId="1"/>
    <tableColumn id="2" xr3:uid="{DEC0B5A3-08AD-43F7-BF95-466E3DD3183F}" uniqueName="2" name="Id" queryTableFieldId="2"/>
    <tableColumn id="3" xr3:uid="{295B8E0C-B9F1-4EFB-AFDC-94B0B427EB30}" uniqueName="3" name="ServerRedirectedEmbedUri" queryTableFieldId="3"/>
    <tableColumn id="4" xr3:uid="{38A9C26F-0AD4-4557-B8CD-88BDF5A34820}" uniqueName="4" name="ServerRedirectedEmbedUrl" queryTableFieldId="4"/>
    <tableColumn id="6" xr3:uid="{C0977076-FEF9-41FC-B060-9ABD60E312B1}" uniqueName="6" name="Title" queryTableFieldId="6"/>
    <tableColumn id="9" xr3:uid="{0FAEA852-B62D-47AA-863F-37B0ECC6F51E}" uniqueName="9" name="Serviceart" queryTableFieldId="9"/>
    <tableColumn id="46" xr3:uid="{80CC1BAD-888F-438B-9D4A-C505CD924149}" uniqueName="46" name="Inventarart" queryTableFieldId="46" dataDxfId="3"/>
    <tableColumn id="10" xr3:uid="{26583BE4-DB52-4EB0-8C8F-B856108B26F5}" uniqueName="10" name="Reminder" queryTableFieldId="10"/>
    <tableColumn id="11" xr3:uid="{53DA8F86-AAC1-4338-AB5C-152773A34794}" uniqueName="11" name="Ort" queryTableFieldId="11"/>
    <tableColumn id="12" xr3:uid="{7ED2F538-D583-4276-B0A0-F1BFEF150126}" uniqueName="12" name="GPSLocation" queryTableFieldId="12"/>
    <tableColumn id="13" xr3:uid="{EB6C03F3-062E-4B4C-AD7E-6A1198914FA8}" uniqueName="13" name="SharedCalendarId" queryTableFieldId="13"/>
    <tableColumn id="14" xr3:uid="{5FFC2FC7-7FCF-43FF-9E80-12F36B854455}" uniqueName="14" name="Anfangszeit" queryTableFieldId="14"/>
    <tableColumn id="15" xr3:uid="{C33E1AA8-6F68-43FE-AEE1-665B09786C02}" uniqueName="15" name="Endzeit" queryTableFieldId="15"/>
    <tableColumn id="16" xr3:uid="{47D3A74E-EEF1-4722-8111-419CBEDFAF96}" uniqueName="16" name="TeilnehmerId" queryTableFieldId="16"/>
    <tableColumn id="17" xr3:uid="{3ED59125-7234-4D45-B134-63C538D9E0ED}" uniqueName="17" name="TeilnehmerStringId" queryTableFieldId="17"/>
    <tableColumn id="18" xr3:uid="{129DFADB-5545-4054-B8F1-A41D75EC79C5}" uniqueName="18" name="PrueferId" queryTableFieldId="18"/>
    <tableColumn id="19" xr3:uid="{BC9FFA31-2B73-4EF1-B7DE-982C93451481}" uniqueName="19" name="PrueferStringId" queryTableFieldId="19"/>
    <tableColumn id="20" xr3:uid="{7F8D20A3-4B01-4DDE-99E0-E86F6753BBC5}" uniqueName="20" name="PrueferName" queryTableFieldId="20"/>
    <tableColumn id="21" xr3:uid="{A40E2036-4873-401C-B02C-B013E6054511}" uniqueName="21" name="Beschreibung" queryTableFieldId="21"/>
    <tableColumn id="22" xr3:uid="{02054AD7-05FB-4B14-B0CB-5484ABA71607}" uniqueName="22" name="KDNR" queryTableFieldId="22"/>
    <tableColumn id="23" xr3:uid="{A731693F-D08D-48E8-935B-D18A4B3AA04F}" uniqueName="23" name="INVNR" queryTableFieldId="23"/>
    <tableColumn id="24" xr3:uid="{61B1FF4C-F560-4301-8077-E56AC35B3205}" uniqueName="24" name="SammelINVNR" queryTableFieldId="24"/>
    <tableColumn id="25" xr3:uid="{4D9BA78C-2357-4A00-A801-C07F5E890E3E}" uniqueName="25" name="FlagGroup" queryTableFieldId="25"/>
    <tableColumn id="26" xr3:uid="{5A84D411-3D8C-4FF0-B692-4AA4BB7FE02E}" uniqueName="26" name="GeraetetypCode" queryTableFieldId="26"/>
    <tableColumn id="27" xr3:uid="{847583EF-6E47-4B5A-BA53-8885C654231F}" uniqueName="27" name="AbweichendeLieferanschrift" queryTableFieldId="27"/>
    <tableColumn id="28" xr3:uid="{C934D877-077A-40EB-9023-9F45E7E5680E}" uniqueName="28" name="Pruefungshistorie" queryTableFieldId="28"/>
    <tableColumn id="29" xr3:uid="{710871AC-3B41-4F03-A1D8-AAAC16E8E48A}" uniqueName="29" name="HISTORIEDE" queryTableFieldId="29"/>
    <tableColumn id="30" xr3:uid="{034062BF-C594-461A-8969-014949AE9BD2}" uniqueName="30" name="HISTORIEEN" queryTableFieldId="30"/>
    <tableColumn id="31" xr3:uid="{FFBB152F-7F50-498E-946D-0094917ADF6A}" uniqueName="31" name="PruefdatenGefunden" queryTableFieldId="31"/>
    <tableColumn id="32" xr3:uid="{53EACD48-4506-4F02-868A-346679B6685C}" uniqueName="32" name="PruefberichtGefunden" queryTableFieldId="32"/>
    <tableColumn id="33" xr3:uid="{0832E96B-F652-4351-B07B-97C56C42AD09}" uniqueName="33" name="PruefberichtGenehmigt" queryTableFieldId="33"/>
    <tableColumn id="34" xr3:uid="{C9916F73-D295-40E9-8307-E5011A2EA9EC}" uniqueName="34" name="KDAUFNR" queryTableFieldId="34"/>
    <tableColumn id="35" xr3:uid="{6421C6B3-79DB-40E5-B16F-E82AC3CE4B78}" uniqueName="35" name="KDAUFDATUM" queryTableFieldId="35"/>
    <tableColumn id="36" xr3:uid="{1F35A490-DAB2-4864-9591-3860B566279F}" uniqueName="36" name="KDAUFKONTAKT" queryTableFieldId="36"/>
    <tableColumn id="37" xr3:uid="{295B0501-AC38-426C-B96A-5C4DF18DD758}" uniqueName="37" name="KEY" queryTableFieldId="37"/>
    <tableColumn id="5" xr3:uid="{3C4A4D5C-0070-476B-9BFD-04525B71C88E}" uniqueName="5" name="ContentTypeId" queryTableFieldId="5"/>
    <tableColumn id="7" xr3:uid="{DAA5D861-FCB9-4BA4-8B2B-CDC3F5DCBC17}" uniqueName="7" name="OData__ColorTag" queryTableFieldId="7"/>
    <tableColumn id="8" xr3:uid="{4F94FE7C-1493-40A8-A1AB-6B9641DF6DFA}" uniqueName="8" name="ComplianceAssetId" queryTableFieldId="8"/>
    <tableColumn id="38" xr3:uid="{89D45EC7-00E8-4952-91FE-1FC7D91EBDA1}" uniqueName="38" name="ID2" queryTableFieldId="38"/>
    <tableColumn id="39" xr3:uid="{B87E6FAC-582D-4CF9-ADCC-BCC324807E84}" uniqueName="39" name="Modified" queryTableFieldId="39"/>
    <tableColumn id="40" xr3:uid="{12D97DA1-1D1C-471C-92DD-1962806CDD97}" uniqueName="40" name="Created" queryTableFieldId="40"/>
    <tableColumn id="41" xr3:uid="{6D2F62BC-9028-4DC8-8C84-7DE301E80208}" uniqueName="41" name="AuthorId" queryTableFieldId="41"/>
    <tableColumn id="42" xr3:uid="{D26F2F8D-DDD0-4094-8208-CE5EB81B3779}" uniqueName="42" name="EditorId" queryTableFieldId="42"/>
    <tableColumn id="43" xr3:uid="{81498E37-D7E1-4201-96ED-3E9EE7B43E02}" uniqueName="43" name="OData__UIVersionString" queryTableFieldId="43"/>
    <tableColumn id="44" xr3:uid="{912C185C-7AAA-4D40-8190-64E2DD64F87C}" uniqueName="44" name="Attachments" queryTableFieldId="44"/>
    <tableColumn id="45" xr3:uid="{01221DEF-757A-440F-B15B-83D65DD651D5}" uniqueName="45" name="GUID" queryTableFieldId="4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96710-B80C-42E5-9BC4-5211B4F7BF3A}">
  <sheetPr codeName="Sheet1">
    <pageSetUpPr fitToPage="1"/>
  </sheetPr>
  <dimension ref="A1:G48"/>
  <sheetViews>
    <sheetView showGridLines="0" tabSelected="1" zoomScaleNormal="100" zoomScaleSheetLayoutView="115" zoomScalePageLayoutView="70" workbookViewId="0">
      <selection activeCell="D54" sqref="D54"/>
    </sheetView>
  </sheetViews>
  <sheetFormatPr defaultColWidth="8.88671875" defaultRowHeight="14.4" x14ac:dyDescent="0.3"/>
  <cols>
    <col min="1" max="1" width="1.6640625" customWidth="1"/>
    <col min="2" max="2" width="100.6640625" customWidth="1"/>
    <col min="3" max="3" width="12.6640625" customWidth="1"/>
    <col min="4" max="5" width="20.6640625" customWidth="1"/>
    <col min="6" max="6" width="15.6640625" customWidth="1"/>
    <col min="7" max="7" width="15.6640625" hidden="1" customWidth="1"/>
  </cols>
  <sheetData>
    <row r="1" spans="1:4" ht="28.8" x14ac:dyDescent="0.3">
      <c r="A1" s="30"/>
      <c r="B1" s="32" t="str">
        <f ca="1">"Service Dashboard as of " &amp; TEXT(NOW(), "MMM TT, JJJJ hh:mm")</f>
        <v>Service Dashboard as of Sep 23, 2025 11:00</v>
      </c>
      <c r="C1" s="32"/>
      <c r="D1" s="7"/>
    </row>
    <row r="2" spans="1:4" x14ac:dyDescent="0.3">
      <c r="A2" s="30"/>
      <c r="B2" s="33" t="s">
        <v>1126</v>
      </c>
      <c r="C2" s="33"/>
      <c r="D2" s="31"/>
    </row>
    <row r="3" spans="1:4" x14ac:dyDescent="0.3">
      <c r="A3" s="30"/>
      <c r="B3" s="33"/>
      <c r="C3" s="33"/>
      <c r="D3" s="31"/>
    </row>
    <row r="4" spans="1:4" x14ac:dyDescent="0.3">
      <c r="B4" s="6"/>
      <c r="C4" s="6"/>
      <c r="D4" s="6"/>
    </row>
    <row r="5" spans="1:4" x14ac:dyDescent="0.3">
      <c r="B5" s="6"/>
      <c r="C5" s="6"/>
      <c r="D5" s="6"/>
    </row>
    <row r="6" spans="1:4" x14ac:dyDescent="0.3">
      <c r="B6" s="6"/>
      <c r="C6" s="6"/>
      <c r="D6" s="6"/>
    </row>
    <row r="7" spans="1:4" x14ac:dyDescent="0.3">
      <c r="B7" s="6"/>
      <c r="C7" s="6"/>
      <c r="D7" s="6"/>
    </row>
    <row r="8" spans="1:4" x14ac:dyDescent="0.3">
      <c r="B8" s="6"/>
      <c r="C8" s="6"/>
      <c r="D8" s="6"/>
    </row>
    <row r="9" spans="1:4" x14ac:dyDescent="0.3">
      <c r="B9" s="6"/>
      <c r="C9" s="6"/>
      <c r="D9" s="6"/>
    </row>
    <row r="10" spans="1:4" x14ac:dyDescent="0.3">
      <c r="B10" s="6"/>
      <c r="C10" s="6"/>
      <c r="D10" s="6"/>
    </row>
    <row r="11" spans="1:4" x14ac:dyDescent="0.3">
      <c r="B11" s="6"/>
      <c r="C11" s="6"/>
      <c r="D11" s="6"/>
    </row>
    <row r="12" spans="1:4" x14ac:dyDescent="0.3">
      <c r="B12" s="6"/>
      <c r="C12" s="6"/>
      <c r="D12" s="6"/>
    </row>
    <row r="48" spans="1:3" x14ac:dyDescent="0.3">
      <c r="A48" s="29"/>
      <c r="B48" s="29"/>
      <c r="C48" s="29"/>
    </row>
  </sheetData>
  <pageMargins left="0.9055118110236221" right="0.31496062992125984" top="0.74803149606299213" bottom="0.74803149606299213" header="0.31496062992125984" footer="0.31496062992125984"/>
  <pageSetup paperSize="9" scale="73" orientation="portrait" cellComments="atEnd" r:id="rId1"/>
  <headerFooter>
    <oddFooter>&amp;RSeite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76429-79D4-42A2-A897-3F09A0DAC7FB}">
  <sheetPr codeName="Sheet4">
    <pageSetUpPr fitToPage="1"/>
  </sheetPr>
  <dimension ref="B1:K326"/>
  <sheetViews>
    <sheetView showGridLines="0" view="pageBreakPreview" zoomScaleNormal="100" zoomScaleSheetLayoutView="100" zoomScalePageLayoutView="70" workbookViewId="0">
      <selection activeCell="B7" sqref="B7"/>
    </sheetView>
  </sheetViews>
  <sheetFormatPr defaultColWidth="9.109375" defaultRowHeight="14.4" x14ac:dyDescent="0.3"/>
  <cols>
    <col min="1" max="1" width="1.77734375" style="8" customWidth="1"/>
    <col min="2" max="2" width="6.88671875" style="24" customWidth="1"/>
    <col min="3" max="3" width="6.109375" style="10" customWidth="1"/>
    <col min="4" max="4" width="30.77734375" style="10" customWidth="1"/>
    <col min="5" max="5" width="20.77734375" style="10" customWidth="1"/>
    <col min="6" max="6" width="15.77734375" style="15" customWidth="1"/>
    <col min="7" max="7" width="25.77734375" style="14" customWidth="1"/>
    <col min="8" max="8" width="10.77734375" style="14" customWidth="1"/>
    <col min="9" max="9" width="10.77734375" style="8" customWidth="1"/>
    <col min="10" max="10" width="1.77734375" style="8" customWidth="1"/>
    <col min="11" max="12" width="9.109375" style="8" customWidth="1"/>
    <col min="13" max="16384" width="9.109375" style="8"/>
  </cols>
  <sheetData>
    <row r="1" spans="2:11" ht="28.8" x14ac:dyDescent="0.3">
      <c r="B1" s="23" t="str">
        <f ca="1">"Service reports as of " &amp; TEXT(NOW(), "MMM TT, JJJJ hh:mm")</f>
        <v>Service reports as of Sep 23, 2025 11:00</v>
      </c>
      <c r="C1" s="12"/>
      <c r="D1" s="12"/>
      <c r="G1" s="42" t="s">
        <v>1097</v>
      </c>
      <c r="H1" s="43"/>
      <c r="I1" s="43"/>
    </row>
    <row r="2" spans="2:11" ht="14.4" customHeight="1" x14ac:dyDescent="0.3">
      <c r="B2" s="41" t="s">
        <v>1126</v>
      </c>
      <c r="C2" s="41"/>
      <c r="D2" s="41"/>
      <c r="E2" s="18"/>
      <c r="G2" s="43"/>
      <c r="H2" s="43"/>
      <c r="I2" s="43"/>
    </row>
    <row r="3" spans="2:11" ht="14.4" customHeight="1" x14ac:dyDescent="0.25">
      <c r="B3" s="41"/>
      <c r="C3" s="41"/>
      <c r="D3" s="41"/>
      <c r="E3" s="18"/>
      <c r="F3" s="40"/>
      <c r="G3" s="43"/>
      <c r="H3" s="43"/>
      <c r="I3" s="43"/>
    </row>
    <row r="4" spans="2:11" x14ac:dyDescent="0.3">
      <c r="B4" s="25" t="s">
        <v>11</v>
      </c>
      <c r="C4" s="22"/>
      <c r="D4" s="22"/>
      <c r="E4" s="22"/>
      <c r="F4" s="22"/>
      <c r="G4" s="22"/>
      <c r="H4" s="19" t="s">
        <v>1103</v>
      </c>
      <c r="I4" s="20"/>
      <c r="J4"/>
      <c r="K4"/>
    </row>
    <row r="5" spans="2:11" x14ac:dyDescent="0.3">
      <c r="B5" s="26" t="s">
        <v>1098</v>
      </c>
      <c r="C5" s="16" t="s">
        <v>1099</v>
      </c>
      <c r="D5" s="16" t="s">
        <v>1100</v>
      </c>
      <c r="E5" s="16" t="s">
        <v>1101</v>
      </c>
      <c r="F5" s="16" t="s">
        <v>1102</v>
      </c>
      <c r="G5" s="16" t="s">
        <v>746</v>
      </c>
      <c r="H5" s="20" t="s">
        <v>1104</v>
      </c>
      <c r="I5" s="20" t="s">
        <v>1105</v>
      </c>
      <c r="J5"/>
      <c r="K5"/>
    </row>
    <row r="6" spans="2:11" x14ac:dyDescent="0.3">
      <c r="B6" s="22">
        <v>2025</v>
      </c>
      <c r="C6" s="17">
        <v>9</v>
      </c>
      <c r="D6" s="2" t="s">
        <v>80</v>
      </c>
      <c r="E6" s="2" t="s">
        <v>269</v>
      </c>
      <c r="F6" s="2" t="s">
        <v>267</v>
      </c>
      <c r="G6" s="2" t="s">
        <v>266</v>
      </c>
      <c r="H6" s="21">
        <v>1</v>
      </c>
      <c r="I6" s="21"/>
      <c r="J6"/>
      <c r="K6"/>
    </row>
    <row r="7" spans="2:11" x14ac:dyDescent="0.3">
      <c r="B7" s="22"/>
      <c r="C7" s="17"/>
      <c r="D7" s="2"/>
      <c r="E7" s="2"/>
      <c r="F7" s="2"/>
      <c r="G7" s="2"/>
      <c r="H7" s="21"/>
      <c r="I7" s="21"/>
      <c r="J7"/>
      <c r="K7"/>
    </row>
    <row r="8" spans="2:11" x14ac:dyDescent="0.3">
      <c r="B8" s="22">
        <v>2025</v>
      </c>
      <c r="C8" s="17">
        <v>8</v>
      </c>
      <c r="D8" s="2" t="s">
        <v>975</v>
      </c>
      <c r="E8" s="2" t="s">
        <v>818</v>
      </c>
      <c r="F8" s="2" t="s">
        <v>977</v>
      </c>
      <c r="G8" s="2" t="s">
        <v>1067</v>
      </c>
      <c r="H8" s="21">
        <v>1</v>
      </c>
      <c r="I8" s="21"/>
      <c r="J8"/>
      <c r="K8"/>
    </row>
    <row r="9" spans="2:11" x14ac:dyDescent="0.3">
      <c r="B9" s="22">
        <v>2025</v>
      </c>
      <c r="C9" s="17">
        <v>8</v>
      </c>
      <c r="D9" s="2" t="s">
        <v>975</v>
      </c>
      <c r="E9" s="2" t="s">
        <v>818</v>
      </c>
      <c r="F9" s="2" t="s">
        <v>977</v>
      </c>
      <c r="G9" s="2" t="s">
        <v>1064</v>
      </c>
      <c r="H9" s="21">
        <v>1</v>
      </c>
      <c r="I9" s="21"/>
      <c r="J9"/>
      <c r="K9"/>
    </row>
    <row r="10" spans="2:11" x14ac:dyDescent="0.3">
      <c r="B10" s="22"/>
      <c r="C10" s="17"/>
      <c r="D10" s="2"/>
      <c r="E10" s="2"/>
      <c r="F10" s="2"/>
      <c r="G10" s="2"/>
      <c r="H10" s="21"/>
      <c r="I10" s="21"/>
      <c r="J10"/>
      <c r="K10"/>
    </row>
    <row r="11" spans="2:11" x14ac:dyDescent="0.3">
      <c r="B11" s="22">
        <v>2025</v>
      </c>
      <c r="C11" s="17">
        <v>8</v>
      </c>
      <c r="D11" s="2" t="s">
        <v>701</v>
      </c>
      <c r="E11" s="2" t="s">
        <v>269</v>
      </c>
      <c r="F11" s="2" t="s">
        <v>267</v>
      </c>
      <c r="G11" s="2" t="s">
        <v>266</v>
      </c>
      <c r="H11" s="21">
        <v>1</v>
      </c>
      <c r="I11" s="21"/>
      <c r="J11"/>
      <c r="K11"/>
    </row>
    <row r="12" spans="2:11" x14ac:dyDescent="0.3">
      <c r="B12" s="22"/>
      <c r="C12" s="17"/>
      <c r="D12" s="2"/>
      <c r="E12" s="2"/>
      <c r="F12" s="2"/>
      <c r="G12" s="2"/>
      <c r="H12" s="21"/>
      <c r="I12" s="21"/>
      <c r="J12"/>
      <c r="K12"/>
    </row>
    <row r="13" spans="2:11" x14ac:dyDescent="0.3">
      <c r="B13" s="22">
        <v>2025</v>
      </c>
      <c r="C13" s="17">
        <v>7</v>
      </c>
      <c r="D13" s="2" t="s">
        <v>182</v>
      </c>
      <c r="E13" s="2" t="s">
        <v>818</v>
      </c>
      <c r="F13" s="2" t="s">
        <v>168</v>
      </c>
      <c r="G13" s="2" t="s">
        <v>167</v>
      </c>
      <c r="H13" s="21">
        <v>1</v>
      </c>
      <c r="I13" s="21">
        <v>1</v>
      </c>
      <c r="J13"/>
      <c r="K13"/>
    </row>
    <row r="14" spans="2:11" x14ac:dyDescent="0.3">
      <c r="B14" s="22"/>
      <c r="C14" s="17"/>
      <c r="D14" s="2"/>
      <c r="E14" s="2"/>
      <c r="F14" s="2"/>
      <c r="G14" s="2"/>
      <c r="H14" s="21"/>
      <c r="I14" s="21"/>
      <c r="J14"/>
      <c r="K14"/>
    </row>
    <row r="15" spans="2:11" x14ac:dyDescent="0.3">
      <c r="B15" s="22">
        <v>2025</v>
      </c>
      <c r="C15" s="17">
        <v>7</v>
      </c>
      <c r="D15" s="2" t="s">
        <v>80</v>
      </c>
      <c r="E15" s="2" t="s">
        <v>813</v>
      </c>
      <c r="F15" s="2" t="s">
        <v>31</v>
      </c>
      <c r="G15" s="2" t="s">
        <v>749</v>
      </c>
      <c r="H15" s="21">
        <v>1</v>
      </c>
      <c r="I15" s="21"/>
      <c r="J15"/>
      <c r="K15"/>
    </row>
    <row r="16" spans="2:11" x14ac:dyDescent="0.3">
      <c r="B16" s="22">
        <v>2025</v>
      </c>
      <c r="C16" s="17">
        <v>7</v>
      </c>
      <c r="D16" s="2" t="s">
        <v>80</v>
      </c>
      <c r="E16" s="2" t="s">
        <v>790</v>
      </c>
      <c r="F16" s="2" t="s">
        <v>31</v>
      </c>
      <c r="G16" s="2" t="s">
        <v>481</v>
      </c>
      <c r="H16" s="21">
        <v>2</v>
      </c>
      <c r="I16" s="21"/>
      <c r="J16"/>
      <c r="K16"/>
    </row>
    <row r="17" spans="2:11" x14ac:dyDescent="0.3">
      <c r="B17" s="22">
        <v>2025</v>
      </c>
      <c r="C17" s="17">
        <v>7</v>
      </c>
      <c r="D17" s="2" t="s">
        <v>80</v>
      </c>
      <c r="E17" s="2" t="s">
        <v>269</v>
      </c>
      <c r="F17" s="2" t="s">
        <v>267</v>
      </c>
      <c r="G17" s="2" t="s">
        <v>266</v>
      </c>
      <c r="H17" s="21">
        <v>1</v>
      </c>
      <c r="I17" s="21">
        <v>1</v>
      </c>
      <c r="J17"/>
      <c r="K17"/>
    </row>
    <row r="18" spans="2:11" x14ac:dyDescent="0.3">
      <c r="B18" s="22"/>
      <c r="C18" s="17"/>
      <c r="D18" s="2"/>
      <c r="E18" s="2"/>
      <c r="F18" s="2"/>
      <c r="G18" s="2"/>
      <c r="H18" s="21"/>
      <c r="I18" s="21"/>
      <c r="J18"/>
      <c r="K18"/>
    </row>
    <row r="19" spans="2:11" x14ac:dyDescent="0.3">
      <c r="B19" s="22">
        <v>2025</v>
      </c>
      <c r="C19" s="17">
        <v>7</v>
      </c>
      <c r="D19" s="2" t="s">
        <v>971</v>
      </c>
      <c r="E19" s="2" t="s">
        <v>851</v>
      </c>
      <c r="F19" s="2" t="s">
        <v>855</v>
      </c>
      <c r="G19" s="2" t="s">
        <v>854</v>
      </c>
      <c r="H19" s="21">
        <v>1</v>
      </c>
      <c r="I19" s="21"/>
      <c r="J19"/>
      <c r="K19"/>
    </row>
    <row r="20" spans="2:11" x14ac:dyDescent="0.3">
      <c r="B20" s="22"/>
      <c r="C20" s="17"/>
      <c r="D20" s="2"/>
      <c r="E20" s="2"/>
      <c r="F20" s="2"/>
      <c r="G20" s="2"/>
      <c r="H20" s="21"/>
      <c r="I20" s="21"/>
      <c r="J20"/>
      <c r="K20"/>
    </row>
    <row r="21" spans="2:11" x14ac:dyDescent="0.3">
      <c r="B21" s="22">
        <v>2025</v>
      </c>
      <c r="C21" s="17">
        <v>7</v>
      </c>
      <c r="D21" s="2" t="s">
        <v>174</v>
      </c>
      <c r="E21" s="2" t="s">
        <v>790</v>
      </c>
      <c r="F21" s="2" t="s">
        <v>31</v>
      </c>
      <c r="G21" s="2" t="s">
        <v>135</v>
      </c>
      <c r="H21" s="21">
        <v>2</v>
      </c>
      <c r="I21" s="21">
        <v>2</v>
      </c>
      <c r="J21"/>
      <c r="K21"/>
    </row>
    <row r="22" spans="2:11" x14ac:dyDescent="0.3">
      <c r="B22" s="22"/>
      <c r="C22" s="17"/>
      <c r="D22" s="2"/>
      <c r="E22" s="2"/>
      <c r="F22" s="2"/>
      <c r="G22" s="2"/>
      <c r="H22" s="21"/>
      <c r="I22" s="21"/>
      <c r="J22"/>
      <c r="K22"/>
    </row>
    <row r="23" spans="2:11" x14ac:dyDescent="0.3">
      <c r="B23" s="22">
        <v>2025</v>
      </c>
      <c r="C23" s="17">
        <v>7</v>
      </c>
      <c r="D23" s="2" t="s">
        <v>176</v>
      </c>
      <c r="E23" s="2" t="s">
        <v>813</v>
      </c>
      <c r="F23" s="2" t="s">
        <v>223</v>
      </c>
      <c r="G23" s="2" t="s">
        <v>222</v>
      </c>
      <c r="H23" s="21">
        <v>1</v>
      </c>
      <c r="I23" s="21"/>
      <c r="J23"/>
      <c r="K23"/>
    </row>
    <row r="24" spans="2:11" x14ac:dyDescent="0.3">
      <c r="B24" s="22">
        <v>2025</v>
      </c>
      <c r="C24" s="17">
        <v>7</v>
      </c>
      <c r="D24" s="2" t="s">
        <v>176</v>
      </c>
      <c r="E24" s="2" t="s">
        <v>809</v>
      </c>
      <c r="F24" s="2" t="s">
        <v>12</v>
      </c>
      <c r="G24" s="2" t="s">
        <v>145</v>
      </c>
      <c r="H24" s="21">
        <v>2</v>
      </c>
      <c r="I24" s="21"/>
      <c r="J24"/>
      <c r="K24"/>
    </row>
    <row r="25" spans="2:11" x14ac:dyDescent="0.3">
      <c r="B25" s="22"/>
      <c r="C25" s="17"/>
      <c r="D25" s="2"/>
      <c r="E25" s="2"/>
      <c r="F25" s="2"/>
      <c r="G25" s="2"/>
      <c r="H25" s="21"/>
      <c r="I25" s="21"/>
      <c r="J25"/>
      <c r="K25"/>
    </row>
    <row r="26" spans="2:11" x14ac:dyDescent="0.3">
      <c r="B26" s="22">
        <v>2025</v>
      </c>
      <c r="C26" s="17">
        <v>7</v>
      </c>
      <c r="D26" s="2" t="s">
        <v>701</v>
      </c>
      <c r="E26" s="2" t="s">
        <v>269</v>
      </c>
      <c r="F26" s="2" t="s">
        <v>267</v>
      </c>
      <c r="G26" s="2" t="s">
        <v>266</v>
      </c>
      <c r="H26" s="21">
        <v>2</v>
      </c>
      <c r="I26" s="21">
        <v>1</v>
      </c>
      <c r="J26"/>
      <c r="K26"/>
    </row>
    <row r="27" spans="2:11" x14ac:dyDescent="0.3">
      <c r="B27" s="22"/>
      <c r="C27" s="17"/>
      <c r="D27" s="2"/>
      <c r="E27" s="2"/>
      <c r="F27" s="2"/>
      <c r="G27" s="2"/>
      <c r="H27" s="21"/>
      <c r="I27" s="21"/>
      <c r="J27"/>
      <c r="K27"/>
    </row>
    <row r="28" spans="2:11" x14ac:dyDescent="0.3">
      <c r="B28" s="22">
        <v>2025</v>
      </c>
      <c r="C28" s="17">
        <v>7</v>
      </c>
      <c r="D28" s="2" t="s">
        <v>281</v>
      </c>
      <c r="E28" s="2" t="s">
        <v>909</v>
      </c>
      <c r="F28" s="2" t="s">
        <v>87</v>
      </c>
      <c r="G28" s="2" t="s">
        <v>694</v>
      </c>
      <c r="H28" s="21">
        <v>1</v>
      </c>
      <c r="I28" s="21"/>
      <c r="J28"/>
      <c r="K28"/>
    </row>
    <row r="29" spans="2:11" x14ac:dyDescent="0.3">
      <c r="B29" s="22">
        <v>2025</v>
      </c>
      <c r="C29" s="17">
        <v>7</v>
      </c>
      <c r="D29" s="2" t="s">
        <v>281</v>
      </c>
      <c r="E29" s="2" t="s">
        <v>909</v>
      </c>
      <c r="F29" s="2" t="s">
        <v>284</v>
      </c>
      <c r="G29" s="2" t="s">
        <v>692</v>
      </c>
      <c r="H29" s="21">
        <v>1</v>
      </c>
      <c r="I29" s="21"/>
      <c r="J29"/>
      <c r="K29"/>
    </row>
    <row r="30" spans="2:11" x14ac:dyDescent="0.3">
      <c r="B30" s="22"/>
      <c r="C30" s="17"/>
      <c r="D30" s="2"/>
      <c r="E30" s="2"/>
      <c r="F30" s="2"/>
      <c r="G30" s="2"/>
      <c r="H30" s="21"/>
      <c r="I30" s="21"/>
      <c r="J30"/>
      <c r="K30"/>
    </row>
    <row r="31" spans="2:11" x14ac:dyDescent="0.3">
      <c r="B31" s="22">
        <v>2025</v>
      </c>
      <c r="C31" s="17">
        <v>7</v>
      </c>
      <c r="D31" s="2" t="s">
        <v>238</v>
      </c>
      <c r="E31" s="2" t="s">
        <v>790</v>
      </c>
      <c r="F31" s="2" t="s">
        <v>97</v>
      </c>
      <c r="G31" s="2" t="s">
        <v>695</v>
      </c>
      <c r="H31" s="21">
        <v>1</v>
      </c>
      <c r="I31" s="21"/>
      <c r="J31"/>
      <c r="K31"/>
    </row>
    <row r="32" spans="2:11" x14ac:dyDescent="0.3">
      <c r="B32" s="22"/>
      <c r="C32" s="17"/>
      <c r="D32" s="2"/>
      <c r="E32" s="2"/>
      <c r="F32" s="2"/>
      <c r="G32" s="2"/>
      <c r="H32" s="21"/>
      <c r="I32" s="21"/>
      <c r="J32"/>
      <c r="K32"/>
    </row>
    <row r="33" spans="2:11" x14ac:dyDescent="0.3">
      <c r="B33" s="22">
        <v>2025</v>
      </c>
      <c r="C33" s="17">
        <v>7</v>
      </c>
      <c r="D33" s="2" t="s">
        <v>261</v>
      </c>
      <c r="E33" s="2" t="s">
        <v>790</v>
      </c>
      <c r="F33" s="2" t="s">
        <v>87</v>
      </c>
      <c r="G33" s="2" t="s">
        <v>310</v>
      </c>
      <c r="H33" s="21">
        <v>1</v>
      </c>
      <c r="I33" s="21"/>
      <c r="J33"/>
      <c r="K33"/>
    </row>
    <row r="34" spans="2:11" x14ac:dyDescent="0.3">
      <c r="B34" s="22">
        <v>2025</v>
      </c>
      <c r="C34" s="17">
        <v>7</v>
      </c>
      <c r="D34" s="2" t="s">
        <v>261</v>
      </c>
      <c r="E34" s="2" t="s">
        <v>790</v>
      </c>
      <c r="F34" s="2" t="s">
        <v>284</v>
      </c>
      <c r="G34" s="2" t="s">
        <v>692</v>
      </c>
      <c r="H34" s="21">
        <v>1</v>
      </c>
      <c r="I34" s="21"/>
      <c r="J34"/>
      <c r="K34"/>
    </row>
    <row r="35" spans="2:11" x14ac:dyDescent="0.3">
      <c r="B35" s="22"/>
      <c r="C35" s="17"/>
      <c r="D35" s="2"/>
      <c r="E35" s="2"/>
      <c r="F35" s="2"/>
      <c r="G35" s="2"/>
      <c r="H35" s="21"/>
      <c r="I35" s="21"/>
      <c r="J35"/>
      <c r="K35"/>
    </row>
    <row r="36" spans="2:11" x14ac:dyDescent="0.3">
      <c r="B36" s="22">
        <v>2025</v>
      </c>
      <c r="C36" s="17">
        <v>7</v>
      </c>
      <c r="D36" s="2" t="s">
        <v>194</v>
      </c>
      <c r="E36" s="2" t="s">
        <v>790</v>
      </c>
      <c r="F36" s="2" t="s">
        <v>97</v>
      </c>
      <c r="G36" s="2" t="s">
        <v>695</v>
      </c>
      <c r="H36" s="21">
        <v>1</v>
      </c>
      <c r="I36" s="21"/>
      <c r="J36"/>
      <c r="K36"/>
    </row>
    <row r="37" spans="2:11" x14ac:dyDescent="0.3">
      <c r="B37" s="22"/>
      <c r="C37" s="17"/>
      <c r="D37" s="2"/>
      <c r="E37" s="2"/>
      <c r="F37" s="2"/>
      <c r="G37" s="2"/>
      <c r="H37" s="21"/>
      <c r="I37" s="21"/>
      <c r="J37"/>
      <c r="K37"/>
    </row>
    <row r="38" spans="2:11" x14ac:dyDescent="0.3">
      <c r="B38" s="22">
        <v>2025</v>
      </c>
      <c r="C38" s="17">
        <v>7</v>
      </c>
      <c r="D38" s="2" t="s">
        <v>288</v>
      </c>
      <c r="E38" s="2" t="s">
        <v>790</v>
      </c>
      <c r="F38" s="2" t="s">
        <v>87</v>
      </c>
      <c r="G38" s="2" t="s">
        <v>310</v>
      </c>
      <c r="H38" s="21">
        <v>1</v>
      </c>
      <c r="I38" s="21"/>
      <c r="J38"/>
      <c r="K38"/>
    </row>
    <row r="39" spans="2:11" x14ac:dyDescent="0.3">
      <c r="B39" s="22"/>
      <c r="C39" s="17"/>
      <c r="D39" s="2"/>
      <c r="E39" s="2"/>
      <c r="F39" s="2"/>
      <c r="G39" s="2"/>
      <c r="H39" s="21"/>
      <c r="I39" s="21"/>
      <c r="J39"/>
      <c r="K39"/>
    </row>
    <row r="40" spans="2:11" x14ac:dyDescent="0.3">
      <c r="B40" s="22">
        <v>2025</v>
      </c>
      <c r="C40" s="17">
        <v>7</v>
      </c>
      <c r="D40" s="2" t="s">
        <v>126</v>
      </c>
      <c r="E40" s="2" t="s">
        <v>790</v>
      </c>
      <c r="F40" s="2" t="s">
        <v>12</v>
      </c>
      <c r="G40" s="2" t="s">
        <v>356</v>
      </c>
      <c r="H40" s="21"/>
      <c r="I40" s="21">
        <v>1</v>
      </c>
      <c r="J40"/>
      <c r="K40"/>
    </row>
    <row r="41" spans="2:11" x14ac:dyDescent="0.3">
      <c r="B41" s="22">
        <v>2025</v>
      </c>
      <c r="C41" s="17">
        <v>7</v>
      </c>
      <c r="D41" s="2" t="s">
        <v>126</v>
      </c>
      <c r="E41" s="2" t="s">
        <v>851</v>
      </c>
      <c r="F41" s="2" t="s">
        <v>132</v>
      </c>
      <c r="G41" s="2" t="s">
        <v>164</v>
      </c>
      <c r="H41" s="21">
        <v>1</v>
      </c>
      <c r="I41" s="21"/>
      <c r="J41"/>
      <c r="K41"/>
    </row>
    <row r="42" spans="2:11" x14ac:dyDescent="0.3">
      <c r="B42" s="22">
        <v>2025</v>
      </c>
      <c r="C42" s="17">
        <v>7</v>
      </c>
      <c r="D42" s="2" t="s">
        <v>126</v>
      </c>
      <c r="E42" s="2" t="s">
        <v>851</v>
      </c>
      <c r="F42" s="2" t="s">
        <v>117</v>
      </c>
      <c r="G42" s="2" t="s">
        <v>139</v>
      </c>
      <c r="H42" s="21">
        <v>1</v>
      </c>
      <c r="I42" s="21"/>
      <c r="J42"/>
      <c r="K42"/>
    </row>
    <row r="43" spans="2:11" x14ac:dyDescent="0.3">
      <c r="B43" s="22"/>
      <c r="C43" s="17"/>
      <c r="D43" s="2"/>
      <c r="E43" s="2"/>
      <c r="F43" s="2"/>
      <c r="G43" s="2"/>
      <c r="H43" s="21"/>
      <c r="I43" s="21"/>
      <c r="J43"/>
      <c r="K43"/>
    </row>
    <row r="44" spans="2:11" x14ac:dyDescent="0.3">
      <c r="B44" s="22">
        <v>2025</v>
      </c>
      <c r="C44" s="17">
        <v>7</v>
      </c>
      <c r="D44" s="2" t="s">
        <v>487</v>
      </c>
      <c r="E44" s="2" t="s">
        <v>790</v>
      </c>
      <c r="F44" s="2" t="s">
        <v>482</v>
      </c>
      <c r="G44" s="2" t="s">
        <v>481</v>
      </c>
      <c r="H44" s="21">
        <v>1</v>
      </c>
      <c r="I44" s="21"/>
      <c r="J44"/>
      <c r="K44"/>
    </row>
    <row r="45" spans="2:11" x14ac:dyDescent="0.3">
      <c r="B45" s="22"/>
      <c r="C45" s="17"/>
      <c r="D45" s="2"/>
      <c r="E45" s="2"/>
      <c r="F45" s="2"/>
      <c r="G45" s="2"/>
      <c r="H45" s="21"/>
      <c r="I45" s="21"/>
      <c r="J45"/>
      <c r="K45"/>
    </row>
    <row r="46" spans="2:11" x14ac:dyDescent="0.3">
      <c r="B46" s="22">
        <v>2025</v>
      </c>
      <c r="C46" s="17">
        <v>7</v>
      </c>
      <c r="D46" s="2" t="s">
        <v>575</v>
      </c>
      <c r="E46" s="2" t="s">
        <v>813</v>
      </c>
      <c r="F46" s="2" t="s">
        <v>12</v>
      </c>
      <c r="G46" s="2" t="s">
        <v>577</v>
      </c>
      <c r="H46" s="21">
        <v>2</v>
      </c>
      <c r="I46" s="21"/>
      <c r="J46"/>
      <c r="K46"/>
    </row>
    <row r="47" spans="2:11" x14ac:dyDescent="0.3">
      <c r="B47" s="22"/>
      <c r="C47" s="17"/>
      <c r="D47" s="2"/>
      <c r="E47" s="2"/>
      <c r="F47" s="2"/>
      <c r="G47" s="2"/>
      <c r="H47" s="21"/>
      <c r="I47" s="21"/>
      <c r="J47"/>
      <c r="K47"/>
    </row>
    <row r="48" spans="2:11" x14ac:dyDescent="0.3">
      <c r="B48" s="22">
        <v>2025</v>
      </c>
      <c r="C48" s="17">
        <v>6</v>
      </c>
      <c r="D48" s="2" t="s">
        <v>182</v>
      </c>
      <c r="E48" s="2" t="s">
        <v>818</v>
      </c>
      <c r="F48" s="2" t="s">
        <v>168</v>
      </c>
      <c r="G48" s="2" t="s">
        <v>167</v>
      </c>
      <c r="H48" s="21">
        <v>1</v>
      </c>
      <c r="I48" s="21">
        <v>1</v>
      </c>
      <c r="J48"/>
      <c r="K48"/>
    </row>
    <row r="49" spans="2:11" x14ac:dyDescent="0.3">
      <c r="B49" s="22"/>
      <c r="C49" s="17"/>
      <c r="D49" s="2"/>
      <c r="E49" s="2"/>
      <c r="F49" s="2"/>
      <c r="G49" s="2"/>
      <c r="H49" s="21"/>
      <c r="I49" s="21"/>
      <c r="J49"/>
      <c r="K49"/>
    </row>
    <row r="50" spans="2:11" x14ac:dyDescent="0.3">
      <c r="B50" s="22">
        <v>2025</v>
      </c>
      <c r="C50" s="17">
        <v>6</v>
      </c>
      <c r="D50" s="2" t="s">
        <v>80</v>
      </c>
      <c r="E50" s="2" t="s">
        <v>813</v>
      </c>
      <c r="F50" s="2" t="s">
        <v>31</v>
      </c>
      <c r="G50" s="2" t="s">
        <v>135</v>
      </c>
      <c r="H50" s="21">
        <v>1</v>
      </c>
      <c r="I50" s="21"/>
      <c r="J50"/>
      <c r="K50"/>
    </row>
    <row r="51" spans="2:11" x14ac:dyDescent="0.3">
      <c r="B51" s="22">
        <v>2025</v>
      </c>
      <c r="C51" s="17">
        <v>6</v>
      </c>
      <c r="D51" s="2" t="s">
        <v>80</v>
      </c>
      <c r="E51" s="2" t="s">
        <v>790</v>
      </c>
      <c r="F51" s="2" t="s">
        <v>31</v>
      </c>
      <c r="G51" s="2" t="s">
        <v>481</v>
      </c>
      <c r="H51" s="21">
        <v>1</v>
      </c>
      <c r="I51" s="21"/>
      <c r="J51"/>
      <c r="K51"/>
    </row>
    <row r="52" spans="2:11" x14ac:dyDescent="0.3">
      <c r="B52" s="22">
        <v>2025</v>
      </c>
      <c r="C52" s="17">
        <v>6</v>
      </c>
      <c r="D52" s="2" t="s">
        <v>80</v>
      </c>
      <c r="E52" s="2" t="s">
        <v>269</v>
      </c>
      <c r="F52" s="2" t="s">
        <v>267</v>
      </c>
      <c r="G52" s="2" t="s">
        <v>266</v>
      </c>
      <c r="H52" s="21">
        <v>1</v>
      </c>
      <c r="I52" s="21"/>
      <c r="J52"/>
      <c r="K52"/>
    </row>
    <row r="53" spans="2:11" x14ac:dyDescent="0.3">
      <c r="B53" s="22"/>
      <c r="C53" s="17"/>
      <c r="D53" s="2"/>
      <c r="E53" s="2"/>
      <c r="F53" s="2"/>
      <c r="G53" s="2"/>
      <c r="H53" s="21"/>
      <c r="I53" s="21"/>
      <c r="J53"/>
      <c r="K53"/>
    </row>
    <row r="54" spans="2:11" x14ac:dyDescent="0.3">
      <c r="B54" s="22">
        <v>2025</v>
      </c>
      <c r="C54" s="17">
        <v>6</v>
      </c>
      <c r="D54" s="2" t="s">
        <v>176</v>
      </c>
      <c r="E54" s="2" t="s">
        <v>813</v>
      </c>
      <c r="F54" s="2" t="s">
        <v>223</v>
      </c>
      <c r="G54" s="2" t="s">
        <v>222</v>
      </c>
      <c r="H54" s="21">
        <v>1</v>
      </c>
      <c r="I54" s="21"/>
      <c r="J54"/>
      <c r="K54"/>
    </row>
    <row r="55" spans="2:11" x14ac:dyDescent="0.3">
      <c r="B55" s="22">
        <v>2025</v>
      </c>
      <c r="C55" s="17">
        <v>6</v>
      </c>
      <c r="D55" s="2" t="s">
        <v>176</v>
      </c>
      <c r="E55" s="2" t="s">
        <v>809</v>
      </c>
      <c r="F55" s="2" t="s">
        <v>12</v>
      </c>
      <c r="G55" s="2" t="s">
        <v>145</v>
      </c>
      <c r="H55" s="21">
        <v>1</v>
      </c>
      <c r="I55" s="21"/>
      <c r="J55"/>
      <c r="K55"/>
    </row>
    <row r="56" spans="2:11" x14ac:dyDescent="0.3">
      <c r="B56" s="22"/>
      <c r="C56" s="17"/>
      <c r="D56" s="2"/>
      <c r="E56" s="2"/>
      <c r="F56" s="2"/>
      <c r="G56" s="2"/>
      <c r="H56" s="21"/>
      <c r="I56" s="21"/>
      <c r="J56"/>
      <c r="K56"/>
    </row>
    <row r="57" spans="2:11" x14ac:dyDescent="0.3">
      <c r="B57" s="22">
        <v>2025</v>
      </c>
      <c r="C57" s="17">
        <v>6</v>
      </c>
      <c r="D57" s="2" t="s">
        <v>308</v>
      </c>
      <c r="E57" s="2" t="s">
        <v>909</v>
      </c>
      <c r="F57" s="2" t="s">
        <v>87</v>
      </c>
      <c r="G57" s="2" t="s">
        <v>310</v>
      </c>
      <c r="H57" s="21">
        <v>1</v>
      </c>
      <c r="I57" s="21"/>
      <c r="J57"/>
      <c r="K57"/>
    </row>
    <row r="58" spans="2:11" x14ac:dyDescent="0.3">
      <c r="B58" s="22"/>
      <c r="C58" s="17"/>
      <c r="D58" s="2"/>
      <c r="E58" s="2"/>
      <c r="F58" s="2"/>
      <c r="G58" s="2"/>
      <c r="H58" s="21"/>
      <c r="I58" s="21"/>
      <c r="J58"/>
      <c r="K58"/>
    </row>
    <row r="59" spans="2:11" x14ac:dyDescent="0.3">
      <c r="B59" s="22">
        <v>2025</v>
      </c>
      <c r="C59" s="17">
        <v>6</v>
      </c>
      <c r="D59" s="2" t="s">
        <v>701</v>
      </c>
      <c r="E59" s="2" t="s">
        <v>269</v>
      </c>
      <c r="F59" s="2" t="s">
        <v>267</v>
      </c>
      <c r="G59" s="2" t="s">
        <v>266</v>
      </c>
      <c r="H59" s="21">
        <v>1</v>
      </c>
      <c r="I59" s="21"/>
      <c r="J59"/>
      <c r="K59"/>
    </row>
    <row r="60" spans="2:11" x14ac:dyDescent="0.3">
      <c r="B60" s="22"/>
      <c r="C60" s="17"/>
      <c r="D60" s="2"/>
      <c r="E60" s="2"/>
      <c r="F60" s="2"/>
      <c r="G60" s="2"/>
      <c r="H60" s="21"/>
      <c r="I60" s="21"/>
      <c r="J60"/>
      <c r="K60"/>
    </row>
    <row r="61" spans="2:11" x14ac:dyDescent="0.3">
      <c r="B61" s="22">
        <v>2025</v>
      </c>
      <c r="C61" s="17">
        <v>6</v>
      </c>
      <c r="D61" s="2" t="s">
        <v>281</v>
      </c>
      <c r="E61" s="2" t="s">
        <v>909</v>
      </c>
      <c r="F61" s="2" t="s">
        <v>87</v>
      </c>
      <c r="G61" s="2" t="s">
        <v>694</v>
      </c>
      <c r="H61" s="21">
        <v>1</v>
      </c>
      <c r="I61" s="21"/>
      <c r="J61"/>
      <c r="K61"/>
    </row>
    <row r="62" spans="2:11" x14ac:dyDescent="0.3">
      <c r="B62" s="22"/>
      <c r="C62" s="17"/>
      <c r="D62" s="2"/>
      <c r="E62" s="2"/>
      <c r="F62" s="2"/>
      <c r="G62" s="2"/>
      <c r="H62" s="21"/>
      <c r="I62" s="21"/>
      <c r="J62"/>
      <c r="K62"/>
    </row>
    <row r="63" spans="2:11" x14ac:dyDescent="0.3">
      <c r="B63" s="22">
        <v>2025</v>
      </c>
      <c r="C63" s="17">
        <v>6</v>
      </c>
      <c r="D63" s="2" t="s">
        <v>194</v>
      </c>
      <c r="E63" s="2" t="s">
        <v>790</v>
      </c>
      <c r="F63" s="2" t="s">
        <v>87</v>
      </c>
      <c r="G63" s="2" t="s">
        <v>694</v>
      </c>
      <c r="H63" s="21">
        <v>1</v>
      </c>
      <c r="I63" s="21"/>
      <c r="J63"/>
      <c r="K63"/>
    </row>
    <row r="64" spans="2:11" x14ac:dyDescent="0.3">
      <c r="B64" s="22"/>
      <c r="C64" s="17"/>
      <c r="D64" s="2"/>
      <c r="E64" s="2"/>
      <c r="F64" s="2"/>
      <c r="G64" s="2"/>
      <c r="H64" s="21"/>
      <c r="I64" s="21"/>
      <c r="J64"/>
      <c r="K64"/>
    </row>
    <row r="65" spans="2:11" x14ac:dyDescent="0.3">
      <c r="B65" s="22">
        <v>2025</v>
      </c>
      <c r="C65" s="17">
        <v>6</v>
      </c>
      <c r="D65" s="2" t="s">
        <v>126</v>
      </c>
      <c r="E65" s="2" t="s">
        <v>790</v>
      </c>
      <c r="F65" s="2" t="s">
        <v>12</v>
      </c>
      <c r="G65" s="2" t="s">
        <v>356</v>
      </c>
      <c r="H65" s="21">
        <v>1</v>
      </c>
      <c r="I65" s="21"/>
      <c r="J65"/>
      <c r="K65"/>
    </row>
    <row r="66" spans="2:11" x14ac:dyDescent="0.3">
      <c r="B66" s="22"/>
      <c r="C66" s="17"/>
      <c r="D66" s="2"/>
      <c r="E66" s="2"/>
      <c r="F66" s="2"/>
      <c r="G66" s="2"/>
      <c r="H66" s="21"/>
      <c r="I66" s="21"/>
      <c r="J66"/>
      <c r="K66"/>
    </row>
    <row r="67" spans="2:11" x14ac:dyDescent="0.3">
      <c r="B67" s="22">
        <v>2025</v>
      </c>
      <c r="C67" s="17">
        <v>6</v>
      </c>
      <c r="D67" s="2" t="s">
        <v>401</v>
      </c>
      <c r="E67" s="2" t="s">
        <v>851</v>
      </c>
      <c r="F67" s="2" t="s">
        <v>416</v>
      </c>
      <c r="G67" s="2" t="s">
        <v>415</v>
      </c>
      <c r="H67" s="21">
        <v>1</v>
      </c>
      <c r="I67" s="21"/>
      <c r="J67"/>
      <c r="K67"/>
    </row>
    <row r="68" spans="2:11" x14ac:dyDescent="0.3">
      <c r="B68" s="22"/>
      <c r="C68" s="17"/>
      <c r="D68" s="2"/>
      <c r="E68" s="2"/>
      <c r="F68" s="2"/>
      <c r="G68" s="2"/>
      <c r="H68" s="21"/>
      <c r="I68" s="21"/>
      <c r="J68"/>
      <c r="K68"/>
    </row>
    <row r="69" spans="2:11" x14ac:dyDescent="0.3">
      <c r="B69" s="22">
        <v>2025</v>
      </c>
      <c r="C69" s="17">
        <v>6</v>
      </c>
      <c r="D69" s="2" t="s">
        <v>114</v>
      </c>
      <c r="E69" s="2" t="s">
        <v>809</v>
      </c>
      <c r="F69" s="2" t="s">
        <v>117</v>
      </c>
      <c r="G69" s="2" t="s">
        <v>116</v>
      </c>
      <c r="H69" s="21">
        <v>1</v>
      </c>
      <c r="I69" s="21"/>
      <c r="J69"/>
      <c r="K69"/>
    </row>
    <row r="70" spans="2:11" x14ac:dyDescent="0.3">
      <c r="B70" s="22"/>
      <c r="C70" s="17"/>
      <c r="D70" s="2"/>
      <c r="E70" s="2"/>
      <c r="F70" s="2"/>
      <c r="G70" s="2"/>
      <c r="H70" s="21"/>
      <c r="I70" s="21"/>
      <c r="J70"/>
      <c r="K70"/>
    </row>
    <row r="71" spans="2:11" x14ac:dyDescent="0.3">
      <c r="B71" s="22">
        <v>2025</v>
      </c>
      <c r="C71" s="17">
        <v>6</v>
      </c>
      <c r="D71" s="2" t="s">
        <v>487</v>
      </c>
      <c r="E71" s="2" t="s">
        <v>790</v>
      </c>
      <c r="F71" s="2" t="s">
        <v>482</v>
      </c>
      <c r="G71" s="2" t="s">
        <v>481</v>
      </c>
      <c r="H71" s="21">
        <v>1</v>
      </c>
      <c r="I71" s="21"/>
      <c r="J71"/>
      <c r="K71"/>
    </row>
    <row r="72" spans="2:11" x14ac:dyDescent="0.3">
      <c r="B72" s="22"/>
      <c r="C72" s="17"/>
      <c r="D72" s="2"/>
      <c r="E72" s="2"/>
      <c r="F72" s="2"/>
      <c r="G72" s="2"/>
      <c r="H72" s="21"/>
      <c r="I72" s="21"/>
      <c r="J72"/>
      <c r="K72"/>
    </row>
    <row r="73" spans="2:11" x14ac:dyDescent="0.3">
      <c r="B73" s="22">
        <v>2025</v>
      </c>
      <c r="C73" s="17">
        <v>6</v>
      </c>
      <c r="D73" s="2" t="s">
        <v>99</v>
      </c>
      <c r="E73" s="2" t="s">
        <v>790</v>
      </c>
      <c r="F73" s="2" t="s">
        <v>494</v>
      </c>
      <c r="G73" s="2" t="s">
        <v>493</v>
      </c>
      <c r="H73" s="21">
        <v>1</v>
      </c>
      <c r="I73" s="21"/>
      <c r="J73"/>
      <c r="K73"/>
    </row>
    <row r="74" spans="2:11" x14ac:dyDescent="0.3">
      <c r="B74" s="22"/>
      <c r="C74" s="17"/>
      <c r="D74" s="2"/>
      <c r="E74" s="2"/>
      <c r="F74" s="2"/>
      <c r="G74" s="2"/>
      <c r="H74" s="21"/>
      <c r="I74" s="21"/>
      <c r="J74"/>
      <c r="K74"/>
    </row>
    <row r="75" spans="2:11" x14ac:dyDescent="0.3">
      <c r="B75" s="22">
        <v>2025</v>
      </c>
      <c r="C75" s="17">
        <v>6</v>
      </c>
      <c r="D75" s="2" t="s">
        <v>575</v>
      </c>
      <c r="E75" s="2" t="s">
        <v>813</v>
      </c>
      <c r="F75" s="2" t="s">
        <v>12</v>
      </c>
      <c r="G75" s="2" t="s">
        <v>577</v>
      </c>
      <c r="H75" s="21">
        <v>1</v>
      </c>
      <c r="I75" s="21"/>
      <c r="J75"/>
      <c r="K75"/>
    </row>
    <row r="76" spans="2:11" x14ac:dyDescent="0.3">
      <c r="B76" s="22"/>
      <c r="C76" s="17"/>
      <c r="D76" s="2"/>
      <c r="E76" s="2"/>
      <c r="F76" s="2"/>
      <c r="G76" s="2"/>
      <c r="H76" s="21"/>
      <c r="I76" s="21"/>
      <c r="J76"/>
      <c r="K76"/>
    </row>
    <row r="77" spans="2:11" x14ac:dyDescent="0.3">
      <c r="B77" s="22">
        <v>2025</v>
      </c>
      <c r="C77" s="17">
        <v>5</v>
      </c>
      <c r="D77" s="2" t="s">
        <v>182</v>
      </c>
      <c r="E77" s="2" t="s">
        <v>818</v>
      </c>
      <c r="F77" s="2" t="s">
        <v>168</v>
      </c>
      <c r="G77" s="2" t="s">
        <v>167</v>
      </c>
      <c r="H77" s="21">
        <v>1</v>
      </c>
      <c r="I77" s="21"/>
      <c r="J77"/>
      <c r="K77"/>
    </row>
    <row r="78" spans="2:11" x14ac:dyDescent="0.3">
      <c r="B78" s="22"/>
      <c r="C78" s="17"/>
      <c r="D78" s="2"/>
      <c r="E78" s="2"/>
      <c r="F78" s="2"/>
      <c r="G78" s="2"/>
      <c r="H78" s="21"/>
      <c r="I78" s="21"/>
      <c r="J78"/>
      <c r="K78"/>
    </row>
    <row r="79" spans="2:11" x14ac:dyDescent="0.3">
      <c r="B79" s="22">
        <v>2025</v>
      </c>
      <c r="C79" s="17">
        <v>5</v>
      </c>
      <c r="D79" s="2" t="s">
        <v>80</v>
      </c>
      <c r="E79" s="2" t="s">
        <v>813</v>
      </c>
      <c r="F79" s="2" t="s">
        <v>31</v>
      </c>
      <c r="G79" s="2" t="s">
        <v>135</v>
      </c>
      <c r="H79" s="21">
        <v>1</v>
      </c>
      <c r="I79" s="21"/>
      <c r="J79"/>
      <c r="K79"/>
    </row>
    <row r="80" spans="2:11" x14ac:dyDescent="0.3">
      <c r="B80" s="22">
        <v>2025</v>
      </c>
      <c r="C80" s="17">
        <v>5</v>
      </c>
      <c r="D80" s="2" t="s">
        <v>80</v>
      </c>
      <c r="E80" s="2" t="s">
        <v>269</v>
      </c>
      <c r="F80" s="2" t="s">
        <v>267</v>
      </c>
      <c r="G80" s="2" t="s">
        <v>266</v>
      </c>
      <c r="H80" s="21"/>
      <c r="I80" s="21">
        <v>1</v>
      </c>
      <c r="J80"/>
      <c r="K80"/>
    </row>
    <row r="81" spans="2:11" x14ac:dyDescent="0.3">
      <c r="B81" s="22"/>
      <c r="C81" s="17"/>
      <c r="D81" s="2"/>
      <c r="E81" s="2"/>
      <c r="F81" s="2"/>
      <c r="G81" s="2"/>
      <c r="H81" s="21"/>
      <c r="I81" s="21"/>
      <c r="J81"/>
      <c r="K81"/>
    </row>
    <row r="82" spans="2:11" x14ac:dyDescent="0.3">
      <c r="B82" s="22">
        <v>2025</v>
      </c>
      <c r="C82" s="17">
        <v>5</v>
      </c>
      <c r="D82" s="2" t="s">
        <v>845</v>
      </c>
      <c r="E82" s="2" t="s">
        <v>851</v>
      </c>
      <c r="F82" s="2" t="s">
        <v>855</v>
      </c>
      <c r="G82" s="2" t="s">
        <v>854</v>
      </c>
      <c r="H82" s="21"/>
      <c r="I82" s="21">
        <v>1</v>
      </c>
      <c r="J82"/>
      <c r="K82"/>
    </row>
    <row r="83" spans="2:11" x14ac:dyDescent="0.3">
      <c r="B83" s="22"/>
      <c r="C83" s="17"/>
      <c r="D83" s="2"/>
      <c r="E83" s="2"/>
      <c r="F83" s="2"/>
      <c r="G83" s="2"/>
      <c r="H83" s="21"/>
      <c r="I83" s="21"/>
      <c r="J83"/>
      <c r="K83"/>
    </row>
    <row r="84" spans="2:11" x14ac:dyDescent="0.3">
      <c r="B84" s="22">
        <v>2025</v>
      </c>
      <c r="C84" s="17">
        <v>5</v>
      </c>
      <c r="D84" s="2" t="s">
        <v>174</v>
      </c>
      <c r="E84" s="2" t="s">
        <v>790</v>
      </c>
      <c r="F84" s="2" t="s">
        <v>31</v>
      </c>
      <c r="G84" s="2" t="s">
        <v>135</v>
      </c>
      <c r="H84" s="21"/>
      <c r="I84" s="21">
        <v>1</v>
      </c>
      <c r="J84"/>
      <c r="K84"/>
    </row>
    <row r="85" spans="2:11" x14ac:dyDescent="0.3">
      <c r="B85" s="22"/>
      <c r="C85" s="17"/>
      <c r="D85" s="2"/>
      <c r="E85" s="2"/>
      <c r="F85" s="2"/>
      <c r="G85" s="2"/>
      <c r="H85" s="21"/>
      <c r="I85" s="21"/>
      <c r="J85"/>
      <c r="K85"/>
    </row>
    <row r="86" spans="2:11" x14ac:dyDescent="0.3">
      <c r="B86" s="22">
        <v>2025</v>
      </c>
      <c r="C86" s="17">
        <v>5</v>
      </c>
      <c r="D86" s="2" t="s">
        <v>176</v>
      </c>
      <c r="E86" s="2" t="s">
        <v>813</v>
      </c>
      <c r="F86" s="2" t="s">
        <v>223</v>
      </c>
      <c r="G86" s="2" t="s">
        <v>222</v>
      </c>
      <c r="H86" s="21">
        <v>1</v>
      </c>
      <c r="I86" s="21"/>
      <c r="J86"/>
      <c r="K86"/>
    </row>
    <row r="87" spans="2:11" x14ac:dyDescent="0.3">
      <c r="B87" s="22">
        <v>2025</v>
      </c>
      <c r="C87" s="17">
        <v>5</v>
      </c>
      <c r="D87" s="2" t="s">
        <v>176</v>
      </c>
      <c r="E87" s="2" t="s">
        <v>809</v>
      </c>
      <c r="F87" s="2" t="s">
        <v>12</v>
      </c>
      <c r="G87" s="2" t="s">
        <v>145</v>
      </c>
      <c r="H87" s="21">
        <v>1</v>
      </c>
      <c r="I87" s="21"/>
      <c r="J87"/>
      <c r="K87"/>
    </row>
    <row r="88" spans="2:11" x14ac:dyDescent="0.3">
      <c r="B88" s="22"/>
      <c r="C88" s="17"/>
      <c r="D88" s="2"/>
      <c r="E88" s="2"/>
      <c r="F88" s="2"/>
      <c r="G88" s="2"/>
      <c r="H88" s="21"/>
      <c r="I88" s="21"/>
      <c r="J88"/>
      <c r="K88"/>
    </row>
    <row r="89" spans="2:11" x14ac:dyDescent="0.3">
      <c r="B89" s="22">
        <v>2025</v>
      </c>
      <c r="C89" s="17">
        <v>5</v>
      </c>
      <c r="D89" s="2" t="s">
        <v>323</v>
      </c>
      <c r="E89" s="2" t="s">
        <v>790</v>
      </c>
      <c r="F89" s="2" t="s">
        <v>87</v>
      </c>
      <c r="G89" s="2" t="s">
        <v>310</v>
      </c>
      <c r="H89" s="21">
        <v>1</v>
      </c>
      <c r="I89" s="21"/>
      <c r="J89"/>
      <c r="K89"/>
    </row>
    <row r="90" spans="2:11" x14ac:dyDescent="0.3">
      <c r="B90" s="22"/>
      <c r="C90" s="17"/>
      <c r="D90" s="2"/>
      <c r="E90" s="2"/>
      <c r="F90" s="2"/>
      <c r="G90" s="2"/>
      <c r="H90" s="21"/>
      <c r="I90" s="21"/>
      <c r="J90"/>
      <c r="K90"/>
    </row>
    <row r="91" spans="2:11" x14ac:dyDescent="0.3">
      <c r="B91" s="22">
        <v>2025</v>
      </c>
      <c r="C91" s="17">
        <v>5</v>
      </c>
      <c r="D91" s="2" t="s">
        <v>701</v>
      </c>
      <c r="E91" s="2" t="s">
        <v>269</v>
      </c>
      <c r="F91" s="2" t="s">
        <v>267</v>
      </c>
      <c r="G91" s="2" t="s">
        <v>266</v>
      </c>
      <c r="H91" s="21">
        <v>1</v>
      </c>
      <c r="I91" s="21"/>
      <c r="J91"/>
      <c r="K91"/>
    </row>
    <row r="92" spans="2:11" x14ac:dyDescent="0.3">
      <c r="B92" s="22"/>
      <c r="C92" s="17"/>
      <c r="D92" s="2"/>
      <c r="E92" s="2"/>
      <c r="F92" s="2"/>
      <c r="G92" s="2"/>
      <c r="H92" s="21"/>
      <c r="I92" s="21"/>
      <c r="J92"/>
      <c r="K92"/>
    </row>
    <row r="93" spans="2:11" x14ac:dyDescent="0.3">
      <c r="B93" s="22">
        <v>2025</v>
      </c>
      <c r="C93" s="17">
        <v>5</v>
      </c>
      <c r="D93" s="2" t="s">
        <v>238</v>
      </c>
      <c r="E93" s="2" t="s">
        <v>790</v>
      </c>
      <c r="F93" s="2" t="s">
        <v>97</v>
      </c>
      <c r="G93" s="2" t="s">
        <v>695</v>
      </c>
      <c r="H93" s="21">
        <v>1</v>
      </c>
      <c r="I93" s="21"/>
      <c r="J93"/>
      <c r="K93"/>
    </row>
    <row r="94" spans="2:11" x14ac:dyDescent="0.3">
      <c r="B94" s="22"/>
      <c r="C94" s="17"/>
      <c r="D94" s="2"/>
      <c r="E94" s="2"/>
      <c r="F94" s="2"/>
      <c r="G94" s="2"/>
      <c r="H94" s="21"/>
      <c r="I94" s="21"/>
      <c r="J94"/>
      <c r="K94"/>
    </row>
    <row r="95" spans="2:11" x14ac:dyDescent="0.3">
      <c r="B95" s="22">
        <v>2025</v>
      </c>
      <c r="C95" s="17">
        <v>5</v>
      </c>
      <c r="D95" s="2" t="s">
        <v>194</v>
      </c>
      <c r="E95" s="2" t="s">
        <v>790</v>
      </c>
      <c r="F95" s="2" t="s">
        <v>97</v>
      </c>
      <c r="G95" s="2" t="s">
        <v>695</v>
      </c>
      <c r="H95" s="21"/>
      <c r="I95" s="21">
        <v>1</v>
      </c>
      <c r="J95"/>
      <c r="K95"/>
    </row>
    <row r="96" spans="2:11" x14ac:dyDescent="0.3">
      <c r="B96" s="22">
        <v>2025</v>
      </c>
      <c r="C96" s="17">
        <v>5</v>
      </c>
      <c r="D96" s="2" t="s">
        <v>194</v>
      </c>
      <c r="E96" s="2" t="s">
        <v>790</v>
      </c>
      <c r="F96" s="2" t="s">
        <v>87</v>
      </c>
      <c r="G96" s="2" t="s">
        <v>694</v>
      </c>
      <c r="H96" s="21"/>
      <c r="I96" s="21">
        <v>1</v>
      </c>
      <c r="J96"/>
      <c r="K96"/>
    </row>
    <row r="97" spans="2:11" x14ac:dyDescent="0.3">
      <c r="B97" s="22"/>
      <c r="C97" s="17"/>
      <c r="D97" s="2"/>
      <c r="E97" s="2"/>
      <c r="F97" s="2"/>
      <c r="G97" s="2"/>
      <c r="H97" s="21"/>
      <c r="I97" s="21"/>
      <c r="J97"/>
      <c r="K97"/>
    </row>
    <row r="98" spans="2:11" x14ac:dyDescent="0.3">
      <c r="B98" s="22">
        <v>2025</v>
      </c>
      <c r="C98" s="17">
        <v>5</v>
      </c>
      <c r="D98" s="2" t="s">
        <v>122</v>
      </c>
      <c r="E98" s="2" t="s">
        <v>851</v>
      </c>
      <c r="F98" s="2" t="s">
        <v>124</v>
      </c>
      <c r="G98" s="2" t="s">
        <v>149</v>
      </c>
      <c r="H98" s="21">
        <v>1</v>
      </c>
      <c r="I98" s="21"/>
      <c r="J98"/>
      <c r="K98"/>
    </row>
    <row r="99" spans="2:11" x14ac:dyDescent="0.3">
      <c r="B99" s="22"/>
      <c r="C99" s="17"/>
      <c r="D99" s="2"/>
      <c r="E99" s="2"/>
      <c r="F99" s="2"/>
      <c r="G99" s="2"/>
      <c r="H99" s="21"/>
      <c r="I99" s="21"/>
      <c r="J99"/>
    </row>
    <row r="100" spans="2:11" x14ac:dyDescent="0.3">
      <c r="B100" s="22">
        <v>2025</v>
      </c>
      <c r="C100" s="17">
        <v>5</v>
      </c>
      <c r="D100" s="2" t="s">
        <v>401</v>
      </c>
      <c r="E100" s="2" t="s">
        <v>851</v>
      </c>
      <c r="F100" s="2" t="s">
        <v>416</v>
      </c>
      <c r="G100" s="2" t="s">
        <v>415</v>
      </c>
      <c r="H100" s="21"/>
      <c r="I100" s="21">
        <v>1</v>
      </c>
      <c r="J100"/>
    </row>
    <row r="101" spans="2:11" x14ac:dyDescent="0.3">
      <c r="B101" s="22"/>
      <c r="C101" s="17"/>
      <c r="D101" s="2"/>
      <c r="E101" s="2"/>
      <c r="F101" s="2"/>
      <c r="G101" s="2"/>
      <c r="H101" s="21"/>
      <c r="I101" s="21"/>
      <c r="J101"/>
    </row>
    <row r="102" spans="2:11" x14ac:dyDescent="0.3">
      <c r="B102" s="22">
        <v>2025</v>
      </c>
      <c r="C102" s="17">
        <v>5</v>
      </c>
      <c r="D102" s="2" t="s">
        <v>114</v>
      </c>
      <c r="E102" s="2" t="s">
        <v>809</v>
      </c>
      <c r="F102" s="2" t="s">
        <v>117</v>
      </c>
      <c r="G102" s="2" t="s">
        <v>116</v>
      </c>
      <c r="H102" s="21">
        <v>1</v>
      </c>
      <c r="I102" s="21"/>
      <c r="J102"/>
    </row>
    <row r="103" spans="2:11" x14ac:dyDescent="0.3">
      <c r="B103" s="22"/>
      <c r="C103" s="17"/>
      <c r="D103" s="2"/>
      <c r="E103" s="2"/>
      <c r="F103" s="2"/>
      <c r="G103" s="2"/>
      <c r="H103" s="21"/>
      <c r="I103" s="21"/>
      <c r="J103"/>
    </row>
    <row r="104" spans="2:11" x14ac:dyDescent="0.3">
      <c r="B104" s="22">
        <v>2025</v>
      </c>
      <c r="C104" s="17">
        <v>5</v>
      </c>
      <c r="D104" s="2" t="s">
        <v>141</v>
      </c>
      <c r="E104" s="2" t="s">
        <v>851</v>
      </c>
      <c r="F104" s="2" t="s">
        <v>144</v>
      </c>
      <c r="G104" s="2" t="s">
        <v>143</v>
      </c>
      <c r="H104" s="21">
        <v>1</v>
      </c>
      <c r="I104" s="21"/>
      <c r="J104"/>
    </row>
    <row r="105" spans="2:11" x14ac:dyDescent="0.3">
      <c r="B105" s="22"/>
      <c r="C105" s="17"/>
      <c r="D105" s="2"/>
      <c r="E105" s="2"/>
      <c r="F105" s="2"/>
      <c r="G105" s="2"/>
      <c r="H105" s="21"/>
      <c r="I105" s="21"/>
      <c r="J105"/>
    </row>
    <row r="106" spans="2:11" x14ac:dyDescent="0.3">
      <c r="B106" s="22">
        <v>2025</v>
      </c>
      <c r="C106" s="17">
        <v>5</v>
      </c>
      <c r="D106" s="2" t="s">
        <v>99</v>
      </c>
      <c r="E106" s="2" t="s">
        <v>790</v>
      </c>
      <c r="F106" s="2" t="s">
        <v>494</v>
      </c>
      <c r="G106" s="2" t="s">
        <v>493</v>
      </c>
      <c r="H106" s="21">
        <v>1</v>
      </c>
      <c r="I106" s="21"/>
      <c r="J106"/>
    </row>
    <row r="107" spans="2:11" x14ac:dyDescent="0.3">
      <c r="B107" s="22">
        <v>2025</v>
      </c>
      <c r="C107" s="17">
        <v>5</v>
      </c>
      <c r="D107" s="2" t="s">
        <v>99</v>
      </c>
      <c r="E107" s="2" t="s">
        <v>904</v>
      </c>
      <c r="F107" s="2" t="s">
        <v>416</v>
      </c>
      <c r="G107" s="2" t="s">
        <v>421</v>
      </c>
      <c r="H107" s="21">
        <v>1</v>
      </c>
      <c r="I107" s="21"/>
      <c r="J107"/>
    </row>
    <row r="108" spans="2:11" x14ac:dyDescent="0.3">
      <c r="B108" s="22"/>
      <c r="C108" s="17"/>
      <c r="D108" s="2"/>
      <c r="E108" s="2"/>
      <c r="F108" s="2"/>
      <c r="G108" s="2"/>
      <c r="H108" s="21"/>
      <c r="I108" s="21"/>
      <c r="J108"/>
    </row>
    <row r="109" spans="2:11" x14ac:dyDescent="0.3">
      <c r="B109" s="22">
        <v>2025</v>
      </c>
      <c r="C109" s="17">
        <v>5</v>
      </c>
      <c r="D109" s="2" t="s">
        <v>882</v>
      </c>
      <c r="E109" s="2" t="s">
        <v>790</v>
      </c>
      <c r="F109" s="2" t="s">
        <v>7</v>
      </c>
      <c r="G109" s="2" t="s">
        <v>884</v>
      </c>
      <c r="H109" s="21">
        <v>1</v>
      </c>
      <c r="I109" s="21"/>
      <c r="J109"/>
    </row>
    <row r="110" spans="2:11" x14ac:dyDescent="0.3">
      <c r="B110" s="22"/>
      <c r="C110" s="17"/>
      <c r="D110" s="2"/>
      <c r="E110" s="2"/>
      <c r="F110" s="2"/>
      <c r="G110" s="2"/>
      <c r="H110" s="21"/>
      <c r="I110" s="21"/>
      <c r="J110"/>
    </row>
    <row r="111" spans="2:11" x14ac:dyDescent="0.3">
      <c r="B111" s="22">
        <v>2025</v>
      </c>
      <c r="C111" s="17">
        <v>5</v>
      </c>
      <c r="D111" s="2" t="s">
        <v>887</v>
      </c>
      <c r="E111" s="2" t="s">
        <v>790</v>
      </c>
      <c r="F111" s="2" t="s">
        <v>7</v>
      </c>
      <c r="G111" s="2" t="s">
        <v>889</v>
      </c>
      <c r="H111" s="21">
        <v>1</v>
      </c>
      <c r="I111" s="21"/>
      <c r="J111"/>
    </row>
    <row r="112" spans="2:11" x14ac:dyDescent="0.3">
      <c r="B112" s="22"/>
      <c r="C112" s="17"/>
      <c r="D112" s="2"/>
      <c r="E112" s="2"/>
      <c r="F112" s="2"/>
      <c r="G112" s="2"/>
      <c r="H112" s="21"/>
      <c r="I112" s="21"/>
      <c r="J112"/>
    </row>
    <row r="113" spans="2:10" x14ac:dyDescent="0.3">
      <c r="B113" s="22">
        <v>2025</v>
      </c>
      <c r="C113" s="17">
        <v>5</v>
      </c>
      <c r="D113" s="2" t="s">
        <v>892</v>
      </c>
      <c r="E113" s="2" t="s">
        <v>790</v>
      </c>
      <c r="F113" s="2" t="s">
        <v>7</v>
      </c>
      <c r="G113" s="2" t="s">
        <v>894</v>
      </c>
      <c r="H113" s="21">
        <v>1</v>
      </c>
      <c r="I113" s="21"/>
      <c r="J113"/>
    </row>
    <row r="114" spans="2:10" x14ac:dyDescent="0.3">
      <c r="B114" s="22"/>
      <c r="C114" s="17"/>
      <c r="D114" s="2"/>
      <c r="E114" s="2"/>
      <c r="F114" s="2"/>
      <c r="G114" s="2"/>
      <c r="H114" s="21"/>
      <c r="I114" s="21"/>
      <c r="J114"/>
    </row>
    <row r="115" spans="2:10" x14ac:dyDescent="0.3">
      <c r="B115" s="22">
        <v>2025</v>
      </c>
      <c r="C115" s="17">
        <v>4</v>
      </c>
      <c r="D115" s="2" t="s">
        <v>80</v>
      </c>
      <c r="E115" s="2" t="s">
        <v>269</v>
      </c>
      <c r="F115" s="2" t="s">
        <v>267</v>
      </c>
      <c r="G115" s="2" t="s">
        <v>266</v>
      </c>
      <c r="H115" s="21">
        <v>1</v>
      </c>
      <c r="I115" s="21"/>
      <c r="J115"/>
    </row>
    <row r="116" spans="2:10" x14ac:dyDescent="0.3">
      <c r="B116" s="22"/>
      <c r="C116" s="17"/>
      <c r="D116" s="2"/>
      <c r="E116" s="2"/>
      <c r="F116" s="2"/>
      <c r="G116" s="2"/>
      <c r="H116" s="21"/>
      <c r="I116" s="21"/>
      <c r="J116"/>
    </row>
    <row r="117" spans="2:10" x14ac:dyDescent="0.3">
      <c r="B117" s="22">
        <v>2025</v>
      </c>
      <c r="C117" s="17">
        <v>3</v>
      </c>
      <c r="D117" s="2" t="s">
        <v>80</v>
      </c>
      <c r="E117" s="2" t="s">
        <v>269</v>
      </c>
      <c r="F117" s="2" t="s">
        <v>267</v>
      </c>
      <c r="G117" s="2" t="s">
        <v>266</v>
      </c>
      <c r="H117" s="21"/>
      <c r="I117" s="21">
        <v>1</v>
      </c>
      <c r="J117"/>
    </row>
    <row r="118" spans="2:10" x14ac:dyDescent="0.3">
      <c r="B118" s="22"/>
      <c r="C118" s="17"/>
      <c r="D118" s="2"/>
      <c r="E118" s="2"/>
      <c r="F118" s="2"/>
      <c r="G118" s="2"/>
      <c r="H118" s="21"/>
      <c r="I118" s="21"/>
      <c r="J118"/>
    </row>
    <row r="119" spans="2:10" x14ac:dyDescent="0.3">
      <c r="B119" s="22">
        <v>2025</v>
      </c>
      <c r="C119" s="17">
        <v>3</v>
      </c>
      <c r="D119" s="2" t="s">
        <v>829</v>
      </c>
      <c r="E119" s="2" t="s">
        <v>802</v>
      </c>
      <c r="F119" s="2" t="s">
        <v>831</v>
      </c>
      <c r="G119" s="2" t="s">
        <v>804</v>
      </c>
      <c r="H119" s="21"/>
      <c r="I119" s="21">
        <v>2</v>
      </c>
      <c r="J119"/>
    </row>
    <row r="120" spans="2:10" x14ac:dyDescent="0.3">
      <c r="B120" s="22"/>
      <c r="C120" s="17"/>
      <c r="D120" s="2"/>
      <c r="E120" s="2"/>
      <c r="F120" s="2"/>
      <c r="G120" s="2"/>
      <c r="H120" s="21"/>
      <c r="I120" s="21"/>
      <c r="J120"/>
    </row>
    <row r="121" spans="2:10" x14ac:dyDescent="0.3">
      <c r="B121" s="22">
        <v>2025</v>
      </c>
      <c r="C121" s="17">
        <v>3</v>
      </c>
      <c r="D121" s="2" t="s">
        <v>845</v>
      </c>
      <c r="E121" s="2" t="s">
        <v>802</v>
      </c>
      <c r="F121" s="2" t="s">
        <v>831</v>
      </c>
      <c r="G121" s="2" t="s">
        <v>804</v>
      </c>
      <c r="H121" s="21"/>
      <c r="I121" s="21">
        <v>1</v>
      </c>
      <c r="J121"/>
    </row>
    <row r="122" spans="2:10" x14ac:dyDescent="0.3">
      <c r="B122" s="22"/>
      <c r="C122" s="17"/>
      <c r="D122" s="2"/>
      <c r="E122" s="2"/>
      <c r="F122" s="2"/>
      <c r="G122" s="2"/>
      <c r="H122" s="21"/>
      <c r="I122" s="21"/>
      <c r="J122"/>
    </row>
    <row r="123" spans="2:10" x14ac:dyDescent="0.3">
      <c r="B123" s="22">
        <v>2025</v>
      </c>
      <c r="C123" s="17">
        <v>3</v>
      </c>
      <c r="D123" s="2" t="s">
        <v>701</v>
      </c>
      <c r="E123" s="2" t="s">
        <v>269</v>
      </c>
      <c r="F123" s="2" t="s">
        <v>267</v>
      </c>
      <c r="G123" s="2" t="s">
        <v>266</v>
      </c>
      <c r="H123" s="21">
        <v>1</v>
      </c>
      <c r="I123" s="21"/>
      <c r="J123"/>
    </row>
    <row r="124" spans="2:10" x14ac:dyDescent="0.3">
      <c r="B124" s="22"/>
      <c r="C124" s="17"/>
      <c r="D124" s="2"/>
      <c r="E124" s="2"/>
      <c r="F124" s="2"/>
      <c r="G124" s="2"/>
      <c r="H124" s="21"/>
      <c r="I124" s="21"/>
      <c r="J124"/>
    </row>
    <row r="125" spans="2:10" x14ac:dyDescent="0.3">
      <c r="B125" s="22">
        <v>2025</v>
      </c>
      <c r="C125" s="17">
        <v>3</v>
      </c>
      <c r="D125" s="2" t="s">
        <v>194</v>
      </c>
      <c r="E125" s="2" t="s">
        <v>790</v>
      </c>
      <c r="F125" s="2" t="s">
        <v>97</v>
      </c>
      <c r="G125" s="2" t="s">
        <v>695</v>
      </c>
      <c r="H125" s="21">
        <v>1</v>
      </c>
      <c r="I125" s="21"/>
      <c r="J125"/>
    </row>
    <row r="126" spans="2:10" x14ac:dyDescent="0.3">
      <c r="B126" s="22">
        <v>2025</v>
      </c>
      <c r="C126" s="17">
        <v>3</v>
      </c>
      <c r="D126" s="2" t="s">
        <v>194</v>
      </c>
      <c r="E126" s="2" t="s">
        <v>790</v>
      </c>
      <c r="F126" s="2" t="s">
        <v>87</v>
      </c>
      <c r="G126" s="2" t="s">
        <v>694</v>
      </c>
      <c r="H126" s="21">
        <v>1</v>
      </c>
      <c r="I126" s="21"/>
      <c r="J126"/>
    </row>
    <row r="127" spans="2:10" x14ac:dyDescent="0.3">
      <c r="B127" s="22"/>
      <c r="C127" s="17"/>
      <c r="D127" s="2"/>
      <c r="E127" s="2"/>
      <c r="F127" s="2"/>
      <c r="G127" s="2"/>
      <c r="H127" s="21"/>
      <c r="I127" s="21"/>
      <c r="J127"/>
    </row>
    <row r="128" spans="2:10" x14ac:dyDescent="0.3">
      <c r="B128" s="22">
        <v>2025</v>
      </c>
      <c r="C128" s="17">
        <v>3</v>
      </c>
      <c r="D128" s="2" t="s">
        <v>126</v>
      </c>
      <c r="E128" s="2" t="s">
        <v>851</v>
      </c>
      <c r="F128" s="2" t="s">
        <v>132</v>
      </c>
      <c r="G128" s="2" t="s">
        <v>164</v>
      </c>
      <c r="H128" s="21">
        <v>1</v>
      </c>
      <c r="I128" s="21"/>
      <c r="J128"/>
    </row>
    <row r="129" spans="2:10" x14ac:dyDescent="0.3">
      <c r="B129" s="22">
        <v>2025</v>
      </c>
      <c r="C129" s="17">
        <v>3</v>
      </c>
      <c r="D129" s="2" t="s">
        <v>126</v>
      </c>
      <c r="E129" s="2" t="s">
        <v>851</v>
      </c>
      <c r="F129" s="2" t="s">
        <v>117</v>
      </c>
      <c r="G129" s="2" t="s">
        <v>139</v>
      </c>
      <c r="H129" s="21">
        <v>1</v>
      </c>
      <c r="I129" s="21"/>
      <c r="J129"/>
    </row>
    <row r="130" spans="2:10" x14ac:dyDescent="0.3">
      <c r="B130" s="22"/>
      <c r="C130" s="17"/>
      <c r="D130" s="2"/>
      <c r="E130" s="2"/>
      <c r="F130" s="2"/>
      <c r="G130" s="2"/>
      <c r="H130" s="21"/>
      <c r="I130" s="21"/>
      <c r="J130"/>
    </row>
    <row r="131" spans="2:10" x14ac:dyDescent="0.3">
      <c r="B131" s="22">
        <v>2025</v>
      </c>
      <c r="C131" s="17">
        <v>3</v>
      </c>
      <c r="D131" s="2" t="s">
        <v>122</v>
      </c>
      <c r="E131" s="2" t="s">
        <v>851</v>
      </c>
      <c r="F131" s="2" t="s">
        <v>124</v>
      </c>
      <c r="G131" s="2" t="s">
        <v>149</v>
      </c>
      <c r="H131" s="21">
        <v>1</v>
      </c>
      <c r="I131" s="21"/>
      <c r="J131"/>
    </row>
    <row r="132" spans="2:10" x14ac:dyDescent="0.3">
      <c r="B132" s="22"/>
      <c r="C132" s="17"/>
      <c r="D132" s="2"/>
      <c r="E132" s="2"/>
      <c r="F132" s="2"/>
      <c r="G132" s="2"/>
      <c r="H132" s="21"/>
      <c r="I132" s="21"/>
      <c r="J132"/>
    </row>
    <row r="133" spans="2:10" x14ac:dyDescent="0.3">
      <c r="B133" s="22">
        <v>2025</v>
      </c>
      <c r="C133" s="17">
        <v>2</v>
      </c>
      <c r="D133" s="2" t="s">
        <v>182</v>
      </c>
      <c r="E133" s="2" t="s">
        <v>818</v>
      </c>
      <c r="F133" s="2" t="s">
        <v>168</v>
      </c>
      <c r="G133" s="2" t="s">
        <v>167</v>
      </c>
      <c r="H133" s="21">
        <v>1</v>
      </c>
      <c r="I133" s="21"/>
      <c r="J133"/>
    </row>
    <row r="134" spans="2:10" x14ac:dyDescent="0.3">
      <c r="B134" s="22"/>
      <c r="C134" s="17"/>
      <c r="D134" s="2"/>
      <c r="E134" s="2"/>
      <c r="F134" s="2"/>
      <c r="G134" s="2"/>
      <c r="H134" s="21"/>
      <c r="I134" s="21"/>
      <c r="J134"/>
    </row>
    <row r="135" spans="2:10" x14ac:dyDescent="0.3">
      <c r="B135" s="22">
        <v>2025</v>
      </c>
      <c r="C135" s="17">
        <v>2</v>
      </c>
      <c r="D135" s="2" t="s">
        <v>80</v>
      </c>
      <c r="E135" s="2" t="s">
        <v>269</v>
      </c>
      <c r="F135" s="2" t="s">
        <v>267</v>
      </c>
      <c r="G135" s="2" t="s">
        <v>266</v>
      </c>
      <c r="H135" s="21">
        <v>1</v>
      </c>
      <c r="I135" s="21">
        <v>5</v>
      </c>
      <c r="J135"/>
    </row>
    <row r="136" spans="2:10" x14ac:dyDescent="0.3">
      <c r="B136" s="22"/>
      <c r="C136" s="17"/>
      <c r="D136" s="2"/>
      <c r="E136" s="2"/>
      <c r="F136" s="2"/>
      <c r="G136" s="2"/>
      <c r="H136" s="21"/>
      <c r="I136" s="21"/>
      <c r="J136"/>
    </row>
    <row r="137" spans="2:10" x14ac:dyDescent="0.3">
      <c r="B137" s="22">
        <v>2025</v>
      </c>
      <c r="C137" s="17">
        <v>2</v>
      </c>
      <c r="D137" s="2" t="s">
        <v>829</v>
      </c>
      <c r="E137" s="2" t="s">
        <v>802</v>
      </c>
      <c r="F137" s="2" t="s">
        <v>831</v>
      </c>
      <c r="G137" s="2" t="s">
        <v>804</v>
      </c>
      <c r="H137" s="21"/>
      <c r="I137" s="21">
        <v>1</v>
      </c>
      <c r="J137"/>
    </row>
    <row r="138" spans="2:10" x14ac:dyDescent="0.3">
      <c r="B138" s="22"/>
      <c r="C138" s="17"/>
      <c r="D138" s="2"/>
      <c r="E138" s="2"/>
      <c r="F138" s="2"/>
      <c r="G138" s="2"/>
      <c r="H138" s="21"/>
      <c r="I138" s="21"/>
      <c r="J138"/>
    </row>
    <row r="139" spans="2:10" x14ac:dyDescent="0.3">
      <c r="B139" s="22">
        <v>2025</v>
      </c>
      <c r="C139" s="17">
        <v>2</v>
      </c>
      <c r="D139" s="2" t="s">
        <v>176</v>
      </c>
      <c r="E139" s="2" t="s">
        <v>809</v>
      </c>
      <c r="F139" s="2" t="s">
        <v>12</v>
      </c>
      <c r="G139" s="2" t="s">
        <v>145</v>
      </c>
      <c r="H139" s="21">
        <v>1</v>
      </c>
      <c r="I139" s="21"/>
      <c r="J139"/>
    </row>
    <row r="140" spans="2:10" x14ac:dyDescent="0.3">
      <c r="B140" s="22"/>
      <c r="C140" s="17"/>
      <c r="D140" s="2"/>
      <c r="E140" s="2"/>
      <c r="F140" s="2"/>
      <c r="G140" s="2"/>
      <c r="H140" s="21"/>
      <c r="I140" s="21"/>
      <c r="J140"/>
    </row>
    <row r="141" spans="2:10" x14ac:dyDescent="0.3">
      <c r="B141" s="22">
        <v>2025</v>
      </c>
      <c r="C141" s="17">
        <v>2</v>
      </c>
      <c r="D141" s="2" t="s">
        <v>190</v>
      </c>
      <c r="E141" s="2" t="s">
        <v>813</v>
      </c>
      <c r="F141" s="2" t="s">
        <v>31</v>
      </c>
      <c r="G141" s="2" t="s">
        <v>60</v>
      </c>
      <c r="H141" s="21">
        <v>1</v>
      </c>
      <c r="I141" s="21"/>
      <c r="J141"/>
    </row>
    <row r="142" spans="2:10" x14ac:dyDescent="0.3">
      <c r="B142" s="22"/>
      <c r="C142" s="17"/>
      <c r="D142" s="2"/>
      <c r="E142" s="2"/>
      <c r="F142" s="2"/>
      <c r="G142" s="2"/>
      <c r="H142" s="21"/>
      <c r="I142" s="21"/>
      <c r="J142"/>
    </row>
    <row r="143" spans="2:10" x14ac:dyDescent="0.3">
      <c r="B143" s="22">
        <v>2025</v>
      </c>
      <c r="C143" s="17">
        <v>2</v>
      </c>
      <c r="D143" s="2" t="s">
        <v>701</v>
      </c>
      <c r="E143" s="2" t="s">
        <v>269</v>
      </c>
      <c r="F143" s="2" t="s">
        <v>267</v>
      </c>
      <c r="G143" s="2" t="s">
        <v>266</v>
      </c>
      <c r="H143" s="21">
        <v>1</v>
      </c>
      <c r="I143" s="21"/>
      <c r="J143"/>
    </row>
    <row r="144" spans="2:10" x14ac:dyDescent="0.3">
      <c r="B144" s="22"/>
      <c r="C144" s="17"/>
      <c r="D144" s="2"/>
      <c r="E144" s="2"/>
      <c r="F144" s="2"/>
      <c r="G144" s="2"/>
      <c r="H144" s="21"/>
      <c r="I144" s="21"/>
      <c r="J144"/>
    </row>
    <row r="145" spans="2:10" x14ac:dyDescent="0.3">
      <c r="B145" s="22">
        <v>2025</v>
      </c>
      <c r="C145" s="17">
        <v>2</v>
      </c>
      <c r="D145" s="2" t="s">
        <v>288</v>
      </c>
      <c r="E145" s="2" t="s">
        <v>790</v>
      </c>
      <c r="F145" s="2" t="s">
        <v>92</v>
      </c>
      <c r="G145" s="2" t="s">
        <v>402</v>
      </c>
      <c r="H145" s="21">
        <v>1</v>
      </c>
      <c r="I145" s="21"/>
      <c r="J145"/>
    </row>
    <row r="146" spans="2:10" x14ac:dyDescent="0.3">
      <c r="B146" s="22"/>
      <c r="C146" s="17"/>
      <c r="D146" s="2"/>
      <c r="E146" s="2"/>
      <c r="F146" s="2"/>
      <c r="G146" s="2"/>
      <c r="H146" s="21"/>
      <c r="I146" s="21"/>
      <c r="J146"/>
    </row>
    <row r="147" spans="2:10" x14ac:dyDescent="0.3">
      <c r="B147" s="22">
        <v>2025</v>
      </c>
      <c r="C147" s="17">
        <v>2</v>
      </c>
      <c r="D147" s="2" t="s">
        <v>5</v>
      </c>
      <c r="E147" s="2" t="s">
        <v>802</v>
      </c>
      <c r="F147" s="2" t="s">
        <v>805</v>
      </c>
      <c r="G147" s="2" t="s">
        <v>804</v>
      </c>
      <c r="H147" s="21"/>
      <c r="I147" s="21">
        <v>1</v>
      </c>
      <c r="J147"/>
    </row>
    <row r="148" spans="2:10" x14ac:dyDescent="0.3">
      <c r="B148" s="22"/>
      <c r="C148" s="17"/>
      <c r="D148" s="2"/>
      <c r="E148" s="2"/>
      <c r="F148" s="2"/>
      <c r="G148" s="2"/>
      <c r="H148" s="21"/>
      <c r="I148" s="21"/>
      <c r="J148"/>
    </row>
    <row r="149" spans="2:10" x14ac:dyDescent="0.3">
      <c r="B149" s="22">
        <v>2025</v>
      </c>
      <c r="C149" s="17">
        <v>2</v>
      </c>
      <c r="D149" s="2" t="s">
        <v>150</v>
      </c>
      <c r="E149" s="2" t="s">
        <v>813</v>
      </c>
      <c r="F149" s="2" t="s">
        <v>12</v>
      </c>
      <c r="G149" s="2" t="s">
        <v>145</v>
      </c>
      <c r="H149" s="21">
        <v>1</v>
      </c>
      <c r="I149" s="21"/>
      <c r="J149"/>
    </row>
    <row r="150" spans="2:10" x14ac:dyDescent="0.3">
      <c r="B150" s="22"/>
      <c r="C150" s="17"/>
      <c r="D150" s="2"/>
      <c r="E150" s="2"/>
      <c r="F150" s="2"/>
      <c r="G150" s="2"/>
      <c r="H150" s="21"/>
      <c r="I150" s="21"/>
      <c r="J150"/>
    </row>
    <row r="151" spans="2:10" x14ac:dyDescent="0.3">
      <c r="B151" s="22">
        <v>2025</v>
      </c>
      <c r="C151" s="17">
        <v>2</v>
      </c>
      <c r="D151" s="2" t="s">
        <v>99</v>
      </c>
      <c r="E151" s="2" t="s">
        <v>790</v>
      </c>
      <c r="F151" s="2" t="s">
        <v>494</v>
      </c>
      <c r="G151" s="2" t="s">
        <v>493</v>
      </c>
      <c r="H151" s="21">
        <v>1</v>
      </c>
      <c r="I151" s="21"/>
      <c r="J151"/>
    </row>
    <row r="152" spans="2:10" x14ac:dyDescent="0.3">
      <c r="B152" s="22"/>
      <c r="C152" s="17"/>
      <c r="D152" s="2"/>
      <c r="E152" s="2"/>
      <c r="F152" s="2"/>
      <c r="G152" s="2"/>
      <c r="H152" s="21"/>
      <c r="I152" s="21"/>
      <c r="J152"/>
    </row>
    <row r="153" spans="2:10" x14ac:dyDescent="0.3">
      <c r="B153" s="22">
        <v>2025</v>
      </c>
      <c r="C153" s="17">
        <v>1</v>
      </c>
      <c r="D153" s="2" t="s">
        <v>174</v>
      </c>
      <c r="E153" s="2" t="s">
        <v>790</v>
      </c>
      <c r="F153" s="2" t="s">
        <v>31</v>
      </c>
      <c r="G153" s="2" t="s">
        <v>135</v>
      </c>
      <c r="H153" s="21">
        <v>1</v>
      </c>
      <c r="I153" s="21"/>
      <c r="J153"/>
    </row>
    <row r="154" spans="2:10" x14ac:dyDescent="0.3">
      <c r="B154" s="22"/>
      <c r="C154" s="17"/>
      <c r="D154" s="2"/>
      <c r="E154" s="2"/>
      <c r="F154" s="2"/>
      <c r="G154" s="2"/>
      <c r="H154" s="21"/>
      <c r="I154" s="21"/>
      <c r="J154"/>
    </row>
    <row r="155" spans="2:10" x14ac:dyDescent="0.3">
      <c r="B155"/>
      <c r="C155"/>
      <c r="D155"/>
      <c r="E155"/>
      <c r="F155"/>
      <c r="G155"/>
      <c r="H155"/>
      <c r="I155"/>
      <c r="J155"/>
    </row>
    <row r="156" spans="2:10" x14ac:dyDescent="0.3">
      <c r="B156"/>
      <c r="C156"/>
      <c r="D156"/>
      <c r="E156"/>
      <c r="F156"/>
      <c r="G156"/>
      <c r="H156"/>
      <c r="I156"/>
      <c r="J156"/>
    </row>
    <row r="157" spans="2:10" x14ac:dyDescent="0.3">
      <c r="B157"/>
      <c r="C157"/>
      <c r="D157"/>
      <c r="E157"/>
      <c r="F157"/>
      <c r="G157"/>
      <c r="H157"/>
      <c r="I157"/>
      <c r="J157"/>
    </row>
    <row r="158" spans="2:10" x14ac:dyDescent="0.3">
      <c r="B158"/>
      <c r="C158"/>
      <c r="D158"/>
      <c r="E158"/>
      <c r="F158"/>
      <c r="G158"/>
      <c r="H158"/>
      <c r="I158"/>
      <c r="J158"/>
    </row>
    <row r="159" spans="2:10" x14ac:dyDescent="0.3">
      <c r="B159"/>
      <c r="C159"/>
      <c r="D159"/>
      <c r="E159"/>
      <c r="F159"/>
      <c r="G159"/>
      <c r="H159"/>
      <c r="I159"/>
      <c r="J159"/>
    </row>
    <row r="160" spans="2:10" x14ac:dyDescent="0.3">
      <c r="B160"/>
      <c r="C160"/>
      <c r="D160"/>
      <c r="E160"/>
      <c r="F160"/>
      <c r="G160"/>
      <c r="H160"/>
      <c r="I160"/>
      <c r="J160"/>
    </row>
    <row r="161" spans="2:10" x14ac:dyDescent="0.3">
      <c r="B161"/>
      <c r="C161"/>
      <c r="D161"/>
      <c r="E161"/>
      <c r="F161"/>
      <c r="G161"/>
      <c r="H161"/>
      <c r="I161"/>
      <c r="J161"/>
    </row>
    <row r="162" spans="2:10" x14ac:dyDescent="0.3">
      <c r="B162"/>
      <c r="C162"/>
      <c r="D162"/>
      <c r="E162"/>
      <c r="F162"/>
      <c r="G162"/>
      <c r="H162"/>
      <c r="I162"/>
      <c r="J162"/>
    </row>
    <row r="163" spans="2:10" x14ac:dyDescent="0.3">
      <c r="B163"/>
      <c r="C163"/>
      <c r="D163"/>
      <c r="E163"/>
      <c r="F163"/>
      <c r="G163"/>
      <c r="H163"/>
      <c r="I163"/>
      <c r="J163"/>
    </row>
    <row r="164" spans="2:10" x14ac:dyDescent="0.3">
      <c r="B164"/>
      <c r="C164"/>
      <c r="D164"/>
      <c r="E164"/>
      <c r="F164"/>
      <c r="G164"/>
      <c r="H164"/>
      <c r="I164"/>
      <c r="J164"/>
    </row>
    <row r="165" spans="2:10" x14ac:dyDescent="0.3">
      <c r="B165"/>
      <c r="C165"/>
      <c r="D165"/>
      <c r="E165"/>
      <c r="F165"/>
      <c r="G165"/>
      <c r="H165"/>
      <c r="I165"/>
      <c r="J165"/>
    </row>
    <row r="166" spans="2:10" x14ac:dyDescent="0.3">
      <c r="B166"/>
      <c r="C166"/>
      <c r="D166"/>
      <c r="E166"/>
      <c r="F166"/>
      <c r="G166"/>
      <c r="H166"/>
      <c r="I166"/>
      <c r="J166"/>
    </row>
    <row r="167" spans="2:10" x14ac:dyDescent="0.3">
      <c r="B167"/>
      <c r="C167"/>
      <c r="D167"/>
      <c r="E167"/>
      <c r="F167"/>
      <c r="G167"/>
      <c r="H167"/>
      <c r="I167"/>
      <c r="J167"/>
    </row>
    <row r="168" spans="2:10" x14ac:dyDescent="0.3">
      <c r="B168"/>
      <c r="C168"/>
      <c r="D168"/>
      <c r="E168"/>
      <c r="F168"/>
      <c r="G168"/>
      <c r="H168"/>
      <c r="I168"/>
      <c r="J168"/>
    </row>
    <row r="169" spans="2:10" x14ac:dyDescent="0.3">
      <c r="B169"/>
      <c r="C169"/>
      <c r="D169"/>
      <c r="E169"/>
      <c r="F169"/>
      <c r="G169"/>
      <c r="H169"/>
      <c r="I169"/>
      <c r="J169"/>
    </row>
    <row r="170" spans="2:10" x14ac:dyDescent="0.3">
      <c r="B170"/>
      <c r="C170"/>
      <c r="D170"/>
      <c r="E170"/>
      <c r="F170"/>
      <c r="G170"/>
      <c r="H170"/>
      <c r="I170"/>
      <c r="J170"/>
    </row>
    <row r="171" spans="2:10" x14ac:dyDescent="0.3">
      <c r="B171"/>
      <c r="C171"/>
      <c r="D171"/>
      <c r="E171"/>
      <c r="F171"/>
      <c r="G171"/>
      <c r="H171"/>
      <c r="I171"/>
      <c r="J171"/>
    </row>
    <row r="172" spans="2:10" x14ac:dyDescent="0.3">
      <c r="B172"/>
      <c r="C172"/>
      <c r="D172"/>
      <c r="E172"/>
      <c r="F172"/>
      <c r="G172"/>
      <c r="H172"/>
    </row>
    <row r="173" spans="2:10" x14ac:dyDescent="0.3">
      <c r="B173"/>
      <c r="C173"/>
      <c r="D173"/>
      <c r="E173"/>
      <c r="F173"/>
      <c r="G173"/>
      <c r="H173"/>
    </row>
    <row r="174" spans="2:10" x14ac:dyDescent="0.3">
      <c r="B174"/>
      <c r="C174"/>
      <c r="D174"/>
      <c r="E174"/>
      <c r="F174"/>
      <c r="G174"/>
      <c r="H174"/>
    </row>
    <row r="175" spans="2:10" x14ac:dyDescent="0.3">
      <c r="B175"/>
      <c r="C175"/>
      <c r="D175"/>
      <c r="E175"/>
      <c r="F175"/>
      <c r="G175"/>
      <c r="H175"/>
    </row>
    <row r="176" spans="2:10" x14ac:dyDescent="0.3">
      <c r="B176"/>
      <c r="C176"/>
      <c r="D176"/>
      <c r="E176"/>
      <c r="F176"/>
      <c r="G176"/>
      <c r="H176"/>
    </row>
    <row r="177" spans="2:8" x14ac:dyDescent="0.3">
      <c r="B177"/>
      <c r="C177"/>
      <c r="D177"/>
      <c r="E177"/>
      <c r="F177"/>
      <c r="G177"/>
      <c r="H177"/>
    </row>
    <row r="178" spans="2:8" x14ac:dyDescent="0.3">
      <c r="B178"/>
      <c r="C178"/>
      <c r="D178"/>
      <c r="E178"/>
      <c r="F178"/>
      <c r="G178"/>
      <c r="H178"/>
    </row>
    <row r="179" spans="2:8" x14ac:dyDescent="0.3">
      <c r="B179"/>
      <c r="C179"/>
      <c r="D179"/>
      <c r="E179"/>
      <c r="F179"/>
      <c r="G179"/>
      <c r="H179"/>
    </row>
    <row r="180" spans="2:8" x14ac:dyDescent="0.3">
      <c r="B180"/>
      <c r="C180"/>
      <c r="D180"/>
      <c r="E180"/>
      <c r="F180"/>
      <c r="G180"/>
      <c r="H180"/>
    </row>
    <row r="181" spans="2:8" x14ac:dyDescent="0.3">
      <c r="B181"/>
      <c r="C181"/>
      <c r="D181"/>
      <c r="E181"/>
      <c r="F181"/>
      <c r="G181"/>
      <c r="H181"/>
    </row>
    <row r="182" spans="2:8" x14ac:dyDescent="0.3">
      <c r="B182"/>
      <c r="C182"/>
      <c r="D182"/>
      <c r="E182"/>
      <c r="F182"/>
      <c r="G182"/>
      <c r="H182"/>
    </row>
    <row r="183" spans="2:8" x14ac:dyDescent="0.3">
      <c r="B183"/>
      <c r="C183"/>
      <c r="D183"/>
      <c r="E183"/>
      <c r="F183"/>
      <c r="G183"/>
      <c r="H183"/>
    </row>
    <row r="184" spans="2:8" x14ac:dyDescent="0.3">
      <c r="B184"/>
      <c r="C184"/>
      <c r="D184"/>
      <c r="E184"/>
      <c r="F184"/>
      <c r="G184"/>
      <c r="H184"/>
    </row>
    <row r="185" spans="2:8" x14ac:dyDescent="0.3">
      <c r="B185"/>
      <c r="C185"/>
      <c r="D185"/>
      <c r="E185"/>
      <c r="F185"/>
      <c r="G185"/>
      <c r="H185"/>
    </row>
    <row r="186" spans="2:8" x14ac:dyDescent="0.3">
      <c r="B186"/>
      <c r="C186"/>
      <c r="D186"/>
      <c r="E186"/>
      <c r="F186"/>
      <c r="G186"/>
      <c r="H186"/>
    </row>
    <row r="187" spans="2:8" x14ac:dyDescent="0.3">
      <c r="B187"/>
      <c r="C187"/>
      <c r="D187"/>
      <c r="E187"/>
      <c r="F187"/>
      <c r="G187"/>
      <c r="H187"/>
    </row>
    <row r="188" spans="2:8" x14ac:dyDescent="0.3">
      <c r="B188"/>
      <c r="C188"/>
      <c r="D188"/>
      <c r="E188"/>
      <c r="F188"/>
      <c r="G188"/>
      <c r="H188"/>
    </row>
    <row r="189" spans="2:8" x14ac:dyDescent="0.3">
      <c r="B189"/>
      <c r="C189"/>
      <c r="D189"/>
      <c r="E189"/>
      <c r="F189"/>
      <c r="G189"/>
      <c r="H189"/>
    </row>
    <row r="190" spans="2:8" x14ac:dyDescent="0.3">
      <c r="B190"/>
      <c r="C190"/>
      <c r="D190"/>
      <c r="E190"/>
      <c r="F190"/>
      <c r="G190"/>
      <c r="H190"/>
    </row>
    <row r="191" spans="2:8" x14ac:dyDescent="0.3">
      <c r="B191"/>
      <c r="C191"/>
      <c r="D191"/>
      <c r="E191"/>
      <c r="F191"/>
      <c r="G191"/>
      <c r="H191"/>
    </row>
    <row r="192" spans="2:8" x14ac:dyDescent="0.3">
      <c r="B192"/>
      <c r="C192"/>
      <c r="D192"/>
      <c r="E192"/>
      <c r="F192"/>
      <c r="G192"/>
      <c r="H192"/>
    </row>
    <row r="193" spans="2:8" x14ac:dyDescent="0.3">
      <c r="B193"/>
      <c r="C193"/>
      <c r="D193"/>
      <c r="E193"/>
      <c r="F193"/>
      <c r="G193"/>
      <c r="H193"/>
    </row>
    <row r="194" spans="2:8" x14ac:dyDescent="0.3">
      <c r="B194"/>
      <c r="C194"/>
      <c r="D194"/>
      <c r="E194"/>
      <c r="F194"/>
      <c r="G194"/>
      <c r="H194"/>
    </row>
    <row r="195" spans="2:8" x14ac:dyDescent="0.3">
      <c r="B195"/>
      <c r="C195"/>
      <c r="D195"/>
      <c r="E195"/>
      <c r="F195"/>
      <c r="G195"/>
      <c r="H195"/>
    </row>
    <row r="196" spans="2:8" x14ac:dyDescent="0.3">
      <c r="B196"/>
      <c r="C196"/>
      <c r="D196"/>
      <c r="E196"/>
      <c r="F196"/>
      <c r="G196"/>
      <c r="H196"/>
    </row>
    <row r="197" spans="2:8" x14ac:dyDescent="0.3">
      <c r="B197"/>
      <c r="C197"/>
      <c r="D197"/>
      <c r="E197"/>
      <c r="F197"/>
      <c r="G197"/>
      <c r="H197"/>
    </row>
    <row r="198" spans="2:8" x14ac:dyDescent="0.3">
      <c r="B198"/>
      <c r="C198"/>
      <c r="D198"/>
      <c r="E198"/>
      <c r="F198"/>
      <c r="G198"/>
      <c r="H198"/>
    </row>
    <row r="199" spans="2:8" x14ac:dyDescent="0.3">
      <c r="B199"/>
      <c r="C199"/>
      <c r="D199"/>
      <c r="E199"/>
      <c r="F199"/>
      <c r="G199"/>
      <c r="H199"/>
    </row>
    <row r="200" spans="2:8" x14ac:dyDescent="0.3">
      <c r="B200"/>
      <c r="C200"/>
      <c r="D200"/>
      <c r="E200"/>
      <c r="F200"/>
      <c r="G200"/>
      <c r="H200"/>
    </row>
    <row r="201" spans="2:8" x14ac:dyDescent="0.3">
      <c r="B201"/>
      <c r="C201"/>
      <c r="D201"/>
      <c r="E201"/>
      <c r="F201"/>
      <c r="G201"/>
      <c r="H201"/>
    </row>
    <row r="202" spans="2:8" x14ac:dyDescent="0.3">
      <c r="B202"/>
      <c r="C202"/>
      <c r="D202"/>
      <c r="E202"/>
      <c r="F202"/>
      <c r="G202"/>
      <c r="H202"/>
    </row>
    <row r="203" spans="2:8" x14ac:dyDescent="0.3">
      <c r="B203"/>
      <c r="C203"/>
      <c r="D203"/>
      <c r="E203"/>
      <c r="F203"/>
      <c r="G203"/>
      <c r="H203"/>
    </row>
    <row r="204" spans="2:8" x14ac:dyDescent="0.3">
      <c r="B204"/>
      <c r="C204"/>
      <c r="D204"/>
      <c r="E204"/>
      <c r="F204"/>
      <c r="G204"/>
      <c r="H204"/>
    </row>
    <row r="205" spans="2:8" x14ac:dyDescent="0.3">
      <c r="B205"/>
      <c r="C205"/>
      <c r="D205"/>
      <c r="E205"/>
      <c r="F205"/>
      <c r="G205"/>
      <c r="H205"/>
    </row>
    <row r="206" spans="2:8" x14ac:dyDescent="0.3">
      <c r="B206"/>
      <c r="C206"/>
      <c r="D206"/>
      <c r="E206"/>
      <c r="F206"/>
      <c r="G206"/>
      <c r="H206"/>
    </row>
    <row r="207" spans="2:8" x14ac:dyDescent="0.3">
      <c r="B207"/>
      <c r="C207"/>
      <c r="D207"/>
      <c r="E207"/>
      <c r="F207"/>
      <c r="G207"/>
      <c r="H207"/>
    </row>
    <row r="208" spans="2:8" x14ac:dyDescent="0.3">
      <c r="B208"/>
      <c r="C208"/>
      <c r="D208"/>
      <c r="E208"/>
      <c r="F208"/>
      <c r="G208"/>
      <c r="H208"/>
    </row>
    <row r="209" spans="2:8" x14ac:dyDescent="0.3">
      <c r="B209"/>
      <c r="C209"/>
      <c r="D209"/>
      <c r="E209"/>
      <c r="F209"/>
      <c r="G209"/>
      <c r="H209"/>
    </row>
    <row r="210" spans="2:8" x14ac:dyDescent="0.3">
      <c r="B210"/>
      <c r="C210"/>
      <c r="D210"/>
      <c r="E210"/>
      <c r="F210"/>
      <c r="G210"/>
      <c r="H210"/>
    </row>
    <row r="211" spans="2:8" x14ac:dyDescent="0.3">
      <c r="B211"/>
      <c r="C211"/>
      <c r="D211"/>
      <c r="E211"/>
      <c r="F211"/>
      <c r="G211"/>
      <c r="H211"/>
    </row>
    <row r="212" spans="2:8" x14ac:dyDescent="0.3">
      <c r="B212"/>
      <c r="C212"/>
      <c r="D212"/>
      <c r="E212"/>
      <c r="F212"/>
      <c r="G212"/>
      <c r="H212"/>
    </row>
    <row r="213" spans="2:8" x14ac:dyDescent="0.3">
      <c r="B213"/>
      <c r="C213"/>
      <c r="D213"/>
      <c r="E213"/>
      <c r="F213"/>
      <c r="G213"/>
      <c r="H213"/>
    </row>
    <row r="214" spans="2:8" x14ac:dyDescent="0.3">
      <c r="B214"/>
      <c r="C214"/>
      <c r="D214"/>
      <c r="E214"/>
      <c r="F214"/>
      <c r="G214"/>
      <c r="H214"/>
    </row>
    <row r="215" spans="2:8" x14ac:dyDescent="0.3">
      <c r="B215"/>
      <c r="C215"/>
      <c r="D215"/>
      <c r="E215"/>
      <c r="F215"/>
      <c r="G215"/>
      <c r="H215"/>
    </row>
    <row r="216" spans="2:8" x14ac:dyDescent="0.3">
      <c r="B216"/>
      <c r="C216"/>
      <c r="D216"/>
      <c r="E216"/>
      <c r="F216"/>
      <c r="G216"/>
      <c r="H216"/>
    </row>
    <row r="217" spans="2:8" x14ac:dyDescent="0.3">
      <c r="B217"/>
      <c r="C217"/>
      <c r="D217"/>
      <c r="E217"/>
      <c r="F217"/>
      <c r="G217"/>
      <c r="H217"/>
    </row>
    <row r="218" spans="2:8" x14ac:dyDescent="0.3">
      <c r="B218"/>
      <c r="C218"/>
      <c r="D218"/>
      <c r="E218"/>
      <c r="F218"/>
      <c r="G218"/>
      <c r="H218"/>
    </row>
    <row r="219" spans="2:8" x14ac:dyDescent="0.3">
      <c r="B219"/>
      <c r="C219"/>
      <c r="D219"/>
      <c r="E219"/>
      <c r="F219"/>
      <c r="G219"/>
      <c r="H219"/>
    </row>
    <row r="220" spans="2:8" x14ac:dyDescent="0.3">
      <c r="B220"/>
      <c r="C220"/>
      <c r="D220"/>
      <c r="E220"/>
      <c r="F220"/>
      <c r="G220"/>
      <c r="H220"/>
    </row>
    <row r="221" spans="2:8" x14ac:dyDescent="0.3">
      <c r="B221"/>
      <c r="C221"/>
      <c r="D221"/>
      <c r="E221"/>
      <c r="F221"/>
      <c r="G221"/>
      <c r="H221"/>
    </row>
    <row r="222" spans="2:8" x14ac:dyDescent="0.3">
      <c r="B222"/>
      <c r="C222"/>
      <c r="D222"/>
      <c r="E222"/>
      <c r="F222"/>
      <c r="G222"/>
      <c r="H222"/>
    </row>
    <row r="223" spans="2:8" x14ac:dyDescent="0.3">
      <c r="B223"/>
      <c r="C223"/>
      <c r="D223"/>
      <c r="E223"/>
      <c r="F223"/>
      <c r="G223"/>
      <c r="H223"/>
    </row>
    <row r="224" spans="2:8" x14ac:dyDescent="0.3">
      <c r="B224"/>
      <c r="C224"/>
      <c r="D224"/>
      <c r="E224"/>
      <c r="F224"/>
      <c r="G224"/>
      <c r="H224"/>
    </row>
    <row r="225" spans="2:8" x14ac:dyDescent="0.3">
      <c r="B225"/>
      <c r="C225"/>
      <c r="D225"/>
      <c r="E225"/>
      <c r="F225"/>
      <c r="G225"/>
      <c r="H225"/>
    </row>
    <row r="226" spans="2:8" x14ac:dyDescent="0.3">
      <c r="B226"/>
      <c r="C226"/>
      <c r="D226"/>
      <c r="E226"/>
      <c r="F226"/>
      <c r="G226"/>
      <c r="H226"/>
    </row>
    <row r="227" spans="2:8" x14ac:dyDescent="0.3">
      <c r="B227"/>
      <c r="C227"/>
      <c r="D227"/>
      <c r="E227"/>
      <c r="F227"/>
      <c r="G227"/>
      <c r="H227"/>
    </row>
    <row r="228" spans="2:8" x14ac:dyDescent="0.3">
      <c r="B228"/>
      <c r="C228"/>
      <c r="D228"/>
      <c r="E228"/>
      <c r="F228"/>
      <c r="G228"/>
      <c r="H228"/>
    </row>
    <row r="229" spans="2:8" x14ac:dyDescent="0.3">
      <c r="B229"/>
      <c r="C229"/>
      <c r="D229"/>
      <c r="E229"/>
      <c r="F229"/>
      <c r="G229"/>
      <c r="H229"/>
    </row>
    <row r="230" spans="2:8" x14ac:dyDescent="0.3">
      <c r="B230"/>
      <c r="C230"/>
      <c r="D230"/>
      <c r="E230"/>
      <c r="F230"/>
      <c r="G230"/>
      <c r="H230"/>
    </row>
    <row r="231" spans="2:8" x14ac:dyDescent="0.3">
      <c r="B231"/>
      <c r="C231"/>
      <c r="D231"/>
      <c r="E231"/>
      <c r="F231"/>
      <c r="G231"/>
      <c r="H231"/>
    </row>
    <row r="232" spans="2:8" x14ac:dyDescent="0.3">
      <c r="B232"/>
      <c r="C232"/>
      <c r="D232"/>
      <c r="E232"/>
      <c r="F232"/>
      <c r="G232"/>
      <c r="H232"/>
    </row>
    <row r="233" spans="2:8" x14ac:dyDescent="0.3">
      <c r="B233"/>
      <c r="C233"/>
      <c r="D233"/>
      <c r="E233"/>
      <c r="F233"/>
      <c r="G233"/>
      <c r="H233"/>
    </row>
    <row r="234" spans="2:8" x14ac:dyDescent="0.3">
      <c r="B234"/>
      <c r="C234"/>
      <c r="D234"/>
      <c r="E234"/>
      <c r="F234"/>
      <c r="G234"/>
      <c r="H234"/>
    </row>
    <row r="235" spans="2:8" x14ac:dyDescent="0.3">
      <c r="B235"/>
      <c r="C235"/>
      <c r="D235"/>
      <c r="E235"/>
      <c r="F235"/>
      <c r="G235"/>
      <c r="H235"/>
    </row>
    <row r="236" spans="2:8" x14ac:dyDescent="0.3">
      <c r="B236"/>
      <c r="C236"/>
      <c r="D236"/>
      <c r="E236"/>
      <c r="F236"/>
      <c r="G236"/>
      <c r="H236"/>
    </row>
    <row r="237" spans="2:8" x14ac:dyDescent="0.3">
      <c r="B237"/>
      <c r="C237"/>
      <c r="D237"/>
      <c r="E237"/>
      <c r="F237"/>
      <c r="G237"/>
      <c r="H237"/>
    </row>
    <row r="238" spans="2:8" x14ac:dyDescent="0.3">
      <c r="B238"/>
      <c r="C238"/>
      <c r="D238"/>
      <c r="E238"/>
      <c r="F238"/>
      <c r="G238"/>
      <c r="H238"/>
    </row>
    <row r="239" spans="2:8" x14ac:dyDescent="0.3">
      <c r="B239"/>
      <c r="C239"/>
      <c r="D239"/>
      <c r="E239"/>
      <c r="F239"/>
      <c r="G239"/>
      <c r="H239"/>
    </row>
    <row r="240" spans="2:8" x14ac:dyDescent="0.3">
      <c r="B240"/>
      <c r="C240"/>
      <c r="D240"/>
      <c r="E240"/>
      <c r="F240"/>
      <c r="G240"/>
      <c r="H240"/>
    </row>
    <row r="241" spans="2:8" x14ac:dyDescent="0.3">
      <c r="B241"/>
      <c r="C241"/>
      <c r="D241"/>
      <c r="E241"/>
      <c r="F241"/>
      <c r="G241"/>
      <c r="H241"/>
    </row>
    <row r="242" spans="2:8" x14ac:dyDescent="0.3">
      <c r="B242"/>
      <c r="C242"/>
      <c r="D242"/>
      <c r="E242"/>
      <c r="F242"/>
      <c r="G242"/>
      <c r="H242"/>
    </row>
    <row r="243" spans="2:8" x14ac:dyDescent="0.3">
      <c r="B243"/>
      <c r="C243"/>
      <c r="D243"/>
      <c r="E243"/>
      <c r="F243"/>
      <c r="G243"/>
      <c r="H243"/>
    </row>
    <row r="244" spans="2:8" x14ac:dyDescent="0.3">
      <c r="B244"/>
      <c r="C244"/>
      <c r="D244"/>
      <c r="E244"/>
      <c r="F244"/>
      <c r="G244"/>
      <c r="H244"/>
    </row>
    <row r="245" spans="2:8" x14ac:dyDescent="0.3">
      <c r="B245"/>
      <c r="C245"/>
      <c r="D245"/>
      <c r="E245"/>
      <c r="F245"/>
      <c r="G245"/>
      <c r="H245"/>
    </row>
    <row r="246" spans="2:8" x14ac:dyDescent="0.3">
      <c r="B246"/>
      <c r="C246"/>
      <c r="D246"/>
      <c r="E246"/>
      <c r="F246"/>
      <c r="G246"/>
      <c r="H246"/>
    </row>
    <row r="247" spans="2:8" x14ac:dyDescent="0.3">
      <c r="B247"/>
      <c r="C247"/>
      <c r="D247"/>
      <c r="E247"/>
      <c r="F247"/>
      <c r="G247"/>
      <c r="H247"/>
    </row>
    <row r="248" spans="2:8" x14ac:dyDescent="0.3">
      <c r="B248"/>
      <c r="C248"/>
      <c r="D248"/>
      <c r="E248"/>
      <c r="F248"/>
      <c r="G248"/>
      <c r="H248"/>
    </row>
    <row r="249" spans="2:8" x14ac:dyDescent="0.3">
      <c r="B249"/>
      <c r="C249"/>
      <c r="D249"/>
      <c r="E249"/>
      <c r="F249"/>
      <c r="G249"/>
      <c r="H249"/>
    </row>
    <row r="250" spans="2:8" x14ac:dyDescent="0.3">
      <c r="B250"/>
      <c r="C250"/>
      <c r="D250"/>
      <c r="E250"/>
      <c r="F250"/>
      <c r="G250"/>
      <c r="H250"/>
    </row>
    <row r="251" spans="2:8" x14ac:dyDescent="0.3">
      <c r="B251"/>
      <c r="C251"/>
      <c r="D251"/>
      <c r="E251"/>
      <c r="F251"/>
      <c r="G251"/>
      <c r="H251"/>
    </row>
    <row r="252" spans="2:8" x14ac:dyDescent="0.3">
      <c r="B252"/>
      <c r="C252"/>
      <c r="D252"/>
      <c r="E252"/>
      <c r="F252"/>
      <c r="G252"/>
      <c r="H252"/>
    </row>
    <row r="253" spans="2:8" x14ac:dyDescent="0.3">
      <c r="B253"/>
      <c r="C253"/>
      <c r="D253"/>
      <c r="E253"/>
      <c r="F253"/>
      <c r="G253"/>
      <c r="H253"/>
    </row>
    <row r="254" spans="2:8" x14ac:dyDescent="0.3">
      <c r="B254"/>
      <c r="C254"/>
      <c r="D254"/>
      <c r="E254"/>
      <c r="F254"/>
      <c r="G254"/>
      <c r="H254"/>
    </row>
    <row r="255" spans="2:8" x14ac:dyDescent="0.3">
      <c r="B255"/>
      <c r="C255"/>
      <c r="D255"/>
      <c r="E255"/>
      <c r="F255"/>
      <c r="G255"/>
      <c r="H255"/>
    </row>
    <row r="256" spans="2:8" x14ac:dyDescent="0.3">
      <c r="B256"/>
      <c r="C256"/>
      <c r="D256"/>
      <c r="E256"/>
      <c r="F256"/>
      <c r="G256"/>
      <c r="H256"/>
    </row>
    <row r="257" spans="2:8" x14ac:dyDescent="0.3">
      <c r="B257"/>
      <c r="C257"/>
      <c r="D257"/>
      <c r="E257"/>
      <c r="F257"/>
      <c r="G257"/>
      <c r="H257"/>
    </row>
    <row r="258" spans="2:8" x14ac:dyDescent="0.3">
      <c r="B258"/>
      <c r="C258"/>
      <c r="D258"/>
      <c r="E258"/>
      <c r="F258"/>
      <c r="G258"/>
      <c r="H258"/>
    </row>
    <row r="259" spans="2:8" x14ac:dyDescent="0.3">
      <c r="B259"/>
      <c r="C259"/>
      <c r="D259"/>
      <c r="E259"/>
      <c r="F259"/>
      <c r="G259"/>
      <c r="H259"/>
    </row>
    <row r="260" spans="2:8" x14ac:dyDescent="0.3">
      <c r="B260"/>
      <c r="C260"/>
      <c r="D260"/>
      <c r="E260"/>
      <c r="F260"/>
      <c r="G260"/>
      <c r="H260"/>
    </row>
    <row r="261" spans="2:8" x14ac:dyDescent="0.3">
      <c r="B261"/>
      <c r="C261"/>
      <c r="D261"/>
      <c r="E261"/>
      <c r="F261"/>
      <c r="G261"/>
      <c r="H261"/>
    </row>
    <row r="262" spans="2:8" x14ac:dyDescent="0.3">
      <c r="B262"/>
      <c r="C262"/>
      <c r="D262"/>
      <c r="E262"/>
      <c r="F262"/>
      <c r="G262"/>
      <c r="H262"/>
    </row>
    <row r="263" spans="2:8" x14ac:dyDescent="0.3">
      <c r="B263"/>
      <c r="C263"/>
      <c r="D263"/>
      <c r="E263"/>
      <c r="F263"/>
      <c r="G263"/>
      <c r="H263"/>
    </row>
    <row r="264" spans="2:8" x14ac:dyDescent="0.3">
      <c r="B264"/>
      <c r="C264"/>
      <c r="D264"/>
      <c r="E264"/>
      <c r="F264"/>
      <c r="G264"/>
      <c r="H264"/>
    </row>
    <row r="265" spans="2:8" x14ac:dyDescent="0.3">
      <c r="B265"/>
      <c r="C265"/>
      <c r="D265"/>
      <c r="E265"/>
      <c r="F265"/>
      <c r="G265"/>
      <c r="H265"/>
    </row>
    <row r="266" spans="2:8" x14ac:dyDescent="0.3">
      <c r="B266"/>
      <c r="C266"/>
      <c r="D266"/>
      <c r="E266"/>
      <c r="F266"/>
      <c r="G266"/>
      <c r="H266"/>
    </row>
    <row r="267" spans="2:8" x14ac:dyDescent="0.3">
      <c r="B267"/>
      <c r="C267"/>
      <c r="D267"/>
      <c r="E267"/>
      <c r="F267"/>
      <c r="G267"/>
      <c r="H267"/>
    </row>
    <row r="268" spans="2:8" x14ac:dyDescent="0.3">
      <c r="B268"/>
      <c r="C268"/>
      <c r="D268"/>
      <c r="E268"/>
      <c r="F268"/>
      <c r="G268"/>
      <c r="H268"/>
    </row>
    <row r="269" spans="2:8" x14ac:dyDescent="0.3">
      <c r="B269"/>
      <c r="C269"/>
      <c r="D269"/>
      <c r="E269"/>
      <c r="F269"/>
      <c r="G269"/>
      <c r="H269"/>
    </row>
    <row r="270" spans="2:8" x14ac:dyDescent="0.3">
      <c r="B270"/>
      <c r="C270"/>
      <c r="D270"/>
      <c r="E270"/>
      <c r="F270"/>
      <c r="G270"/>
      <c r="H270"/>
    </row>
    <row r="271" spans="2:8" x14ac:dyDescent="0.3">
      <c r="B271"/>
      <c r="C271"/>
      <c r="D271"/>
      <c r="E271"/>
      <c r="F271"/>
      <c r="G271"/>
      <c r="H271"/>
    </row>
    <row r="272" spans="2:8" x14ac:dyDescent="0.3">
      <c r="B272"/>
      <c r="C272"/>
      <c r="D272"/>
      <c r="E272"/>
      <c r="F272"/>
      <c r="G272"/>
      <c r="H272"/>
    </row>
    <row r="273" spans="2:8" x14ac:dyDescent="0.3">
      <c r="B273"/>
      <c r="C273"/>
      <c r="D273"/>
      <c r="E273"/>
      <c r="F273"/>
      <c r="G273"/>
      <c r="H273"/>
    </row>
    <row r="274" spans="2:8" x14ac:dyDescent="0.3">
      <c r="B274"/>
      <c r="C274"/>
      <c r="D274"/>
      <c r="E274"/>
      <c r="F274"/>
      <c r="G274"/>
      <c r="H274"/>
    </row>
    <row r="275" spans="2:8" x14ac:dyDescent="0.3">
      <c r="B275"/>
      <c r="C275"/>
      <c r="D275"/>
      <c r="E275"/>
      <c r="F275"/>
      <c r="G275"/>
      <c r="H275"/>
    </row>
    <row r="276" spans="2:8" x14ac:dyDescent="0.3">
      <c r="B276"/>
      <c r="C276"/>
      <c r="D276"/>
      <c r="E276"/>
      <c r="F276"/>
      <c r="G276"/>
      <c r="H276"/>
    </row>
    <row r="277" spans="2:8" x14ac:dyDescent="0.3">
      <c r="B277"/>
      <c r="C277"/>
      <c r="D277"/>
      <c r="E277"/>
      <c r="F277"/>
      <c r="G277"/>
      <c r="H277"/>
    </row>
    <row r="278" spans="2:8" x14ac:dyDescent="0.3">
      <c r="B278"/>
      <c r="C278"/>
      <c r="D278"/>
      <c r="E278"/>
      <c r="F278"/>
      <c r="G278"/>
      <c r="H278"/>
    </row>
    <row r="279" spans="2:8" x14ac:dyDescent="0.3">
      <c r="B279"/>
      <c r="C279"/>
      <c r="D279"/>
      <c r="E279"/>
      <c r="F279"/>
      <c r="G279"/>
      <c r="H279"/>
    </row>
    <row r="280" spans="2:8" x14ac:dyDescent="0.3">
      <c r="B280"/>
      <c r="C280"/>
      <c r="D280"/>
      <c r="E280"/>
      <c r="F280"/>
      <c r="G280"/>
      <c r="H280"/>
    </row>
    <row r="281" spans="2:8" x14ac:dyDescent="0.3">
      <c r="B281"/>
      <c r="C281"/>
      <c r="D281"/>
      <c r="E281"/>
      <c r="F281"/>
      <c r="G281"/>
      <c r="H281"/>
    </row>
    <row r="282" spans="2:8" x14ac:dyDescent="0.3">
      <c r="B282"/>
      <c r="C282"/>
      <c r="D282"/>
      <c r="E282"/>
      <c r="F282"/>
      <c r="G282"/>
      <c r="H282"/>
    </row>
    <row r="283" spans="2:8" x14ac:dyDescent="0.3">
      <c r="B283"/>
      <c r="C283"/>
      <c r="D283"/>
      <c r="E283"/>
      <c r="F283"/>
      <c r="G283"/>
      <c r="H283"/>
    </row>
    <row r="284" spans="2:8" x14ac:dyDescent="0.3">
      <c r="B284"/>
      <c r="C284"/>
      <c r="D284"/>
      <c r="E284"/>
      <c r="F284"/>
      <c r="G284"/>
      <c r="H284"/>
    </row>
    <row r="285" spans="2:8" x14ac:dyDescent="0.3">
      <c r="B285"/>
      <c r="C285"/>
      <c r="D285"/>
      <c r="E285"/>
      <c r="F285"/>
      <c r="G285"/>
      <c r="H285"/>
    </row>
    <row r="286" spans="2:8" x14ac:dyDescent="0.3">
      <c r="B286"/>
      <c r="C286"/>
      <c r="D286"/>
      <c r="E286"/>
      <c r="F286"/>
      <c r="G286"/>
      <c r="H286"/>
    </row>
    <row r="287" spans="2:8" x14ac:dyDescent="0.3">
      <c r="B287"/>
      <c r="C287"/>
      <c r="D287"/>
      <c r="E287"/>
      <c r="F287"/>
      <c r="G287"/>
      <c r="H287"/>
    </row>
    <row r="288" spans="2:8" x14ac:dyDescent="0.3">
      <c r="B288"/>
      <c r="C288"/>
      <c r="D288"/>
      <c r="E288"/>
      <c r="F288"/>
      <c r="G288"/>
      <c r="H288"/>
    </row>
    <row r="289" spans="2:8" x14ac:dyDescent="0.3">
      <c r="B289"/>
      <c r="C289"/>
      <c r="D289"/>
      <c r="E289"/>
      <c r="F289"/>
      <c r="G289"/>
      <c r="H289"/>
    </row>
    <row r="290" spans="2:8" x14ac:dyDescent="0.3">
      <c r="B290"/>
      <c r="C290"/>
      <c r="D290"/>
      <c r="E290"/>
      <c r="F290"/>
      <c r="G290"/>
      <c r="H290"/>
    </row>
    <row r="291" spans="2:8" x14ac:dyDescent="0.3">
      <c r="B291"/>
      <c r="C291"/>
      <c r="D291"/>
      <c r="E291"/>
      <c r="F291"/>
      <c r="G291"/>
      <c r="H291"/>
    </row>
    <row r="292" spans="2:8" x14ac:dyDescent="0.3">
      <c r="B292"/>
      <c r="C292"/>
      <c r="D292"/>
      <c r="E292"/>
      <c r="F292"/>
      <c r="G292"/>
      <c r="H292"/>
    </row>
    <row r="293" spans="2:8" x14ac:dyDescent="0.3">
      <c r="B293"/>
      <c r="C293"/>
      <c r="D293"/>
      <c r="E293"/>
      <c r="F293"/>
      <c r="G293"/>
      <c r="H293"/>
    </row>
    <row r="294" spans="2:8" x14ac:dyDescent="0.3">
      <c r="B294"/>
      <c r="C294"/>
      <c r="D294"/>
      <c r="E294"/>
      <c r="F294"/>
      <c r="G294"/>
      <c r="H294"/>
    </row>
    <row r="295" spans="2:8" x14ac:dyDescent="0.3">
      <c r="B295"/>
      <c r="C295"/>
      <c r="D295"/>
      <c r="E295"/>
      <c r="F295"/>
      <c r="G295"/>
      <c r="H295"/>
    </row>
    <row r="296" spans="2:8" x14ac:dyDescent="0.3">
      <c r="B296"/>
      <c r="C296"/>
      <c r="D296"/>
      <c r="E296"/>
      <c r="F296"/>
      <c r="G296"/>
      <c r="H296"/>
    </row>
    <row r="297" spans="2:8" x14ac:dyDescent="0.3">
      <c r="B297"/>
      <c r="C297"/>
      <c r="D297"/>
      <c r="E297"/>
      <c r="F297"/>
      <c r="G297"/>
      <c r="H297"/>
    </row>
    <row r="298" spans="2:8" x14ac:dyDescent="0.3">
      <c r="B298"/>
      <c r="C298"/>
      <c r="D298"/>
      <c r="E298"/>
      <c r="F298"/>
      <c r="G298"/>
      <c r="H298"/>
    </row>
    <row r="299" spans="2:8" x14ac:dyDescent="0.3">
      <c r="B299"/>
      <c r="C299"/>
      <c r="D299"/>
      <c r="E299"/>
      <c r="F299"/>
      <c r="G299"/>
      <c r="H299"/>
    </row>
    <row r="300" spans="2:8" x14ac:dyDescent="0.3">
      <c r="B300"/>
      <c r="C300"/>
      <c r="D300"/>
      <c r="E300"/>
      <c r="F300"/>
      <c r="G300"/>
      <c r="H300"/>
    </row>
    <row r="301" spans="2:8" x14ac:dyDescent="0.3">
      <c r="B301"/>
      <c r="C301"/>
      <c r="D301"/>
      <c r="E301"/>
      <c r="F301"/>
      <c r="G301"/>
      <c r="H301"/>
    </row>
    <row r="302" spans="2:8" x14ac:dyDescent="0.3">
      <c r="B302"/>
      <c r="C302"/>
      <c r="D302"/>
      <c r="E302"/>
      <c r="F302"/>
      <c r="G302"/>
      <c r="H302"/>
    </row>
    <row r="303" spans="2:8" x14ac:dyDescent="0.3">
      <c r="B303"/>
      <c r="C303"/>
      <c r="D303"/>
      <c r="E303"/>
      <c r="F303"/>
      <c r="G303"/>
      <c r="H303"/>
    </row>
    <row r="304" spans="2:8" x14ac:dyDescent="0.3">
      <c r="B304"/>
      <c r="C304"/>
      <c r="D304"/>
      <c r="E304"/>
      <c r="F304"/>
      <c r="G304"/>
      <c r="H304"/>
    </row>
    <row r="305" spans="2:8" x14ac:dyDescent="0.3">
      <c r="B305"/>
      <c r="C305"/>
      <c r="D305"/>
      <c r="E305"/>
      <c r="F305"/>
      <c r="G305"/>
      <c r="H305"/>
    </row>
    <row r="306" spans="2:8" x14ac:dyDescent="0.3">
      <c r="B306"/>
      <c r="C306"/>
      <c r="D306"/>
      <c r="E306"/>
      <c r="F306"/>
      <c r="G306"/>
      <c r="H306"/>
    </row>
    <row r="307" spans="2:8" x14ac:dyDescent="0.3">
      <c r="B307"/>
      <c r="C307"/>
      <c r="D307"/>
      <c r="E307"/>
      <c r="F307"/>
      <c r="G307"/>
      <c r="H307"/>
    </row>
    <row r="308" spans="2:8" x14ac:dyDescent="0.3">
      <c r="B308"/>
      <c r="C308"/>
      <c r="D308"/>
      <c r="E308"/>
      <c r="F308"/>
      <c r="G308"/>
      <c r="H308"/>
    </row>
    <row r="309" spans="2:8" x14ac:dyDescent="0.3">
      <c r="B309"/>
      <c r="C309"/>
      <c r="D309"/>
      <c r="E309"/>
      <c r="F309"/>
      <c r="G309"/>
      <c r="H309"/>
    </row>
    <row r="310" spans="2:8" x14ac:dyDescent="0.3">
      <c r="B310"/>
      <c r="C310"/>
      <c r="D310"/>
      <c r="E310"/>
      <c r="F310"/>
      <c r="G310"/>
      <c r="H310"/>
    </row>
    <row r="311" spans="2:8" x14ac:dyDescent="0.3">
      <c r="B311"/>
      <c r="C311"/>
      <c r="D311"/>
      <c r="E311"/>
      <c r="F311"/>
      <c r="G311"/>
      <c r="H311"/>
    </row>
    <row r="312" spans="2:8" x14ac:dyDescent="0.3">
      <c r="B312"/>
      <c r="C312"/>
      <c r="D312"/>
      <c r="E312"/>
      <c r="F312"/>
      <c r="G312"/>
      <c r="H312"/>
    </row>
    <row r="313" spans="2:8" x14ac:dyDescent="0.3">
      <c r="B313"/>
      <c r="C313"/>
      <c r="D313"/>
      <c r="E313"/>
      <c r="F313"/>
      <c r="G313"/>
      <c r="H313"/>
    </row>
    <row r="314" spans="2:8" x14ac:dyDescent="0.3">
      <c r="B314"/>
      <c r="C314"/>
      <c r="D314"/>
      <c r="E314"/>
      <c r="F314"/>
      <c r="G314"/>
      <c r="H314"/>
    </row>
    <row r="315" spans="2:8" x14ac:dyDescent="0.3">
      <c r="B315"/>
      <c r="C315"/>
      <c r="D315"/>
      <c r="E315"/>
      <c r="F315"/>
      <c r="G315"/>
      <c r="H315"/>
    </row>
    <row r="316" spans="2:8" x14ac:dyDescent="0.3">
      <c r="B316"/>
      <c r="C316"/>
      <c r="D316"/>
      <c r="E316"/>
      <c r="F316"/>
      <c r="G316"/>
      <c r="H316"/>
    </row>
    <row r="317" spans="2:8" x14ac:dyDescent="0.3">
      <c r="B317"/>
      <c r="C317"/>
      <c r="D317"/>
      <c r="E317"/>
      <c r="F317"/>
      <c r="G317"/>
      <c r="H317"/>
    </row>
    <row r="318" spans="2:8" x14ac:dyDescent="0.3">
      <c r="B318"/>
      <c r="C318"/>
      <c r="D318"/>
      <c r="E318"/>
      <c r="F318"/>
      <c r="G318"/>
      <c r="H318"/>
    </row>
    <row r="319" spans="2:8" x14ac:dyDescent="0.3">
      <c r="B319"/>
      <c r="C319"/>
      <c r="D319"/>
      <c r="E319"/>
      <c r="F319"/>
      <c r="G319"/>
      <c r="H319"/>
    </row>
    <row r="320" spans="2:8" x14ac:dyDescent="0.3">
      <c r="B320"/>
      <c r="C320"/>
      <c r="D320"/>
      <c r="E320"/>
      <c r="F320"/>
      <c r="G320"/>
      <c r="H320"/>
    </row>
    <row r="321" spans="2:8" x14ac:dyDescent="0.3">
      <c r="B321"/>
      <c r="C321"/>
      <c r="D321"/>
      <c r="E321"/>
      <c r="F321"/>
      <c r="G321"/>
      <c r="H321"/>
    </row>
    <row r="322" spans="2:8" x14ac:dyDescent="0.3">
      <c r="B322"/>
      <c r="C322"/>
      <c r="D322"/>
      <c r="E322"/>
      <c r="F322"/>
      <c r="G322"/>
      <c r="H322"/>
    </row>
    <row r="323" spans="2:8" x14ac:dyDescent="0.3">
      <c r="B323"/>
      <c r="C323"/>
      <c r="D323"/>
      <c r="E323"/>
      <c r="F323"/>
      <c r="G323"/>
      <c r="H323"/>
    </row>
    <row r="324" spans="2:8" x14ac:dyDescent="0.3">
      <c r="B324"/>
      <c r="C324"/>
      <c r="D324"/>
      <c r="E324"/>
      <c r="F324"/>
      <c r="G324"/>
      <c r="H324"/>
    </row>
    <row r="325" spans="2:8" x14ac:dyDescent="0.3">
      <c r="B325"/>
      <c r="C325"/>
      <c r="D325"/>
      <c r="E325"/>
      <c r="F325"/>
      <c r="G325"/>
      <c r="H325"/>
    </row>
    <row r="326" spans="2:8" x14ac:dyDescent="0.3">
      <c r="B326"/>
      <c r="C326"/>
      <c r="D326"/>
      <c r="E326"/>
      <c r="F326"/>
      <c r="G326"/>
      <c r="H326"/>
    </row>
  </sheetData>
  <mergeCells count="3">
    <mergeCell ref="B2:D2"/>
    <mergeCell ref="B3:D3"/>
    <mergeCell ref="G1:I3"/>
  </mergeCells>
  <pageMargins left="0.70866141732283505" right="0.70866141732283505" top="0.74803149606299202" bottom="0.74803149606299202" header="0.31496062992126" footer="0.31496062992126"/>
  <pageSetup paperSize="9" scale="99" fitToHeight="0" orientation="landscape" cellComments="atEnd" r:id="rId2"/>
  <headerFooter>
    <oddFooter>&amp;RSeite &amp;P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66780-036B-4BDB-A6F4-24191E2133B0}">
  <sheetPr codeName="Tabelle3">
    <pageSetUpPr fitToPage="1"/>
  </sheetPr>
  <dimension ref="B1:K125"/>
  <sheetViews>
    <sheetView showGridLines="0" view="pageBreakPreview" zoomScaleNormal="100" zoomScaleSheetLayoutView="100" workbookViewId="0">
      <pane ySplit="4" topLeftCell="A5" activePane="bottomLeft" state="frozen"/>
      <selection pane="bottomLeft" activeCell="B7" sqref="B7"/>
    </sheetView>
  </sheetViews>
  <sheetFormatPr defaultColWidth="6.44140625" defaultRowHeight="14.4" x14ac:dyDescent="0.3"/>
  <cols>
    <col min="1" max="1" width="1.6640625" style="8" customWidth="1"/>
    <col min="2" max="2" width="17" style="27" customWidth="1"/>
    <col min="3" max="3" width="19.6640625" style="10" bestFit="1" customWidth="1"/>
    <col min="4" max="4" width="13.5546875" style="10" bestFit="1" customWidth="1"/>
    <col min="5" max="5" width="63.109375" style="10" customWidth="1"/>
    <col min="6" max="6" width="9.6640625" style="9" bestFit="1" customWidth="1"/>
    <col min="7" max="7" width="38.21875" style="9" bestFit="1" customWidth="1"/>
    <col min="8" max="8" width="53.5546875" style="8" bestFit="1" customWidth="1"/>
    <col min="9" max="9" width="1.77734375" style="8" customWidth="1"/>
    <col min="10" max="16384" width="6.44140625" style="8"/>
  </cols>
  <sheetData>
    <row r="1" spans="2:11" ht="28.8" x14ac:dyDescent="0.3">
      <c r="B1" s="23" t="str">
        <f ca="1">"Service orders as of " &amp; TEXT(NOW(), "MMM TT, JJJJ hh:mm")</f>
        <v>Service orders as of Sep 23, 2025 11:00</v>
      </c>
      <c r="C1" s="12"/>
      <c r="D1" s="13"/>
    </row>
    <row r="2" spans="2:11" ht="14.4" customHeight="1" x14ac:dyDescent="0.3">
      <c r="B2" s="41" t="s">
        <v>1126</v>
      </c>
      <c r="C2" s="41"/>
      <c r="D2" s="41"/>
    </row>
    <row r="3" spans="2:11" x14ac:dyDescent="0.3">
      <c r="B3" s="41"/>
      <c r="C3" s="41"/>
      <c r="D3" s="41"/>
    </row>
    <row r="4" spans="2:11" x14ac:dyDescent="0.3">
      <c r="B4" s="34" t="s">
        <v>1106</v>
      </c>
      <c r="C4" s="28" t="s">
        <v>1107</v>
      </c>
      <c r="D4" s="1" t="s">
        <v>1108</v>
      </c>
      <c r="E4" s="16" t="s">
        <v>81</v>
      </c>
      <c r="F4"/>
      <c r="G4"/>
      <c r="H4"/>
      <c r="I4"/>
      <c r="J4"/>
      <c r="K4"/>
    </row>
    <row r="5" spans="2:11" x14ac:dyDescent="0.3">
      <c r="B5" s="2" t="s">
        <v>11</v>
      </c>
      <c r="C5" s="35">
        <v>45907.920138888891</v>
      </c>
      <c r="D5" s="36">
        <v>45907.961805555555</v>
      </c>
      <c r="E5" s="2" t="s">
        <v>1086</v>
      </c>
      <c r="F5"/>
      <c r="G5"/>
      <c r="H5"/>
      <c r="I5"/>
      <c r="J5"/>
      <c r="K5"/>
    </row>
    <row r="6" spans="2:11" x14ac:dyDescent="0.3">
      <c r="B6"/>
      <c r="C6"/>
      <c r="D6"/>
      <c r="E6" s="4" t="s">
        <v>322</v>
      </c>
      <c r="F6"/>
      <c r="G6"/>
      <c r="H6"/>
      <c r="I6"/>
      <c r="J6"/>
      <c r="K6"/>
    </row>
    <row r="7" spans="2:11" x14ac:dyDescent="0.3">
      <c r="B7"/>
      <c r="C7" s="35"/>
      <c r="D7"/>
      <c r="E7"/>
      <c r="F7"/>
      <c r="G7"/>
      <c r="H7"/>
      <c r="I7"/>
      <c r="J7"/>
      <c r="K7"/>
    </row>
    <row r="8" spans="2:11" x14ac:dyDescent="0.3">
      <c r="B8"/>
      <c r="C8" s="35">
        <v>45935.920138888891</v>
      </c>
      <c r="D8" s="36">
        <v>45935.961805555555</v>
      </c>
      <c r="E8" s="2" t="s">
        <v>1089</v>
      </c>
      <c r="F8"/>
      <c r="G8"/>
      <c r="H8"/>
      <c r="I8"/>
      <c r="J8"/>
      <c r="K8"/>
    </row>
    <row r="9" spans="2:11" x14ac:dyDescent="0.3">
      <c r="B9"/>
      <c r="C9"/>
      <c r="D9"/>
      <c r="E9" s="4" t="s">
        <v>867</v>
      </c>
      <c r="F9"/>
      <c r="G9"/>
      <c r="H9"/>
      <c r="I9"/>
      <c r="J9"/>
      <c r="K9"/>
    </row>
    <row r="10" spans="2:11" x14ac:dyDescent="0.3">
      <c r="B10"/>
      <c r="C10" s="35"/>
      <c r="D10"/>
      <c r="E10"/>
      <c r="F10"/>
      <c r="G10"/>
      <c r="H10"/>
      <c r="I10"/>
      <c r="J10"/>
      <c r="K10"/>
    </row>
    <row r="11" spans="2:11" x14ac:dyDescent="0.3">
      <c r="B11"/>
      <c r="C11" s="35">
        <v>46042.961805555555</v>
      </c>
      <c r="D11" s="36">
        <v>46042.982638888891</v>
      </c>
      <c r="E11" s="2" t="s">
        <v>985</v>
      </c>
      <c r="F11"/>
      <c r="G11"/>
      <c r="H11"/>
      <c r="I11"/>
      <c r="J11"/>
      <c r="K11"/>
    </row>
    <row r="12" spans="2:11" x14ac:dyDescent="0.3">
      <c r="B12"/>
      <c r="C12"/>
      <c r="D12"/>
      <c r="E12" s="4" t="s">
        <v>869</v>
      </c>
      <c r="F12"/>
      <c r="G12"/>
      <c r="H12"/>
      <c r="I12"/>
      <c r="J12"/>
      <c r="K12"/>
    </row>
    <row r="13" spans="2:11" x14ac:dyDescent="0.3">
      <c r="B13"/>
      <c r="C13" s="35"/>
      <c r="D13"/>
      <c r="E13"/>
      <c r="F13"/>
      <c r="G13"/>
      <c r="H13"/>
      <c r="I13"/>
      <c r="J13"/>
      <c r="K13"/>
    </row>
    <row r="14" spans="2:11" x14ac:dyDescent="0.3">
      <c r="B14"/>
      <c r="C14" s="35">
        <v>46075.961805555555</v>
      </c>
      <c r="D14" s="36">
        <v>46075.982638888891</v>
      </c>
      <c r="E14" s="2" t="s">
        <v>313</v>
      </c>
      <c r="F14"/>
      <c r="G14"/>
      <c r="H14"/>
      <c r="I14"/>
      <c r="J14"/>
      <c r="K14"/>
    </row>
    <row r="15" spans="2:11" x14ac:dyDescent="0.3">
      <c r="B15"/>
      <c r="C15"/>
      <c r="D15"/>
      <c r="E15" s="4" t="s">
        <v>1038</v>
      </c>
      <c r="F15"/>
      <c r="G15"/>
      <c r="H15"/>
      <c r="I15"/>
      <c r="J15"/>
      <c r="K15"/>
    </row>
    <row r="16" spans="2:11" x14ac:dyDescent="0.3">
      <c r="B16"/>
      <c r="C16" s="35"/>
      <c r="D16"/>
      <c r="E16"/>
      <c r="F16"/>
      <c r="G16"/>
      <c r="H16"/>
      <c r="I16"/>
      <c r="J16"/>
      <c r="K16"/>
    </row>
    <row r="17" spans="2:11" x14ac:dyDescent="0.3">
      <c r="B17"/>
      <c r="C17" s="35">
        <v>46153.920138888891</v>
      </c>
      <c r="D17" s="36">
        <v>46153.940972222219</v>
      </c>
      <c r="E17" s="2" t="s">
        <v>311</v>
      </c>
      <c r="F17"/>
      <c r="G17"/>
      <c r="H17"/>
      <c r="I17"/>
      <c r="J17"/>
      <c r="K17"/>
    </row>
    <row r="18" spans="2:11" x14ac:dyDescent="0.3">
      <c r="B18"/>
      <c r="C18"/>
      <c r="D18"/>
      <c r="E18" s="4" t="s">
        <v>713</v>
      </c>
      <c r="F18"/>
      <c r="G18"/>
      <c r="H18"/>
      <c r="I18"/>
      <c r="J18"/>
      <c r="K18"/>
    </row>
    <row r="19" spans="2:11" x14ac:dyDescent="0.3">
      <c r="B19"/>
      <c r="C19" s="35"/>
      <c r="D19"/>
      <c r="E19"/>
      <c r="F19"/>
      <c r="G19"/>
      <c r="H19"/>
      <c r="I19"/>
      <c r="J19"/>
      <c r="K19"/>
    </row>
    <row r="20" spans="2:11" x14ac:dyDescent="0.3">
      <c r="B20"/>
      <c r="C20" s="35">
        <v>46174.920138888891</v>
      </c>
      <c r="D20" s="36">
        <v>46174.940972222219</v>
      </c>
      <c r="E20" s="2" t="s">
        <v>311</v>
      </c>
      <c r="F20"/>
      <c r="G20"/>
      <c r="H20"/>
      <c r="I20"/>
      <c r="J20"/>
      <c r="K20"/>
    </row>
    <row r="21" spans="2:11" x14ac:dyDescent="0.3">
      <c r="B21"/>
      <c r="C21"/>
      <c r="D21"/>
      <c r="E21" s="4" t="s">
        <v>713</v>
      </c>
      <c r="F21"/>
      <c r="G21"/>
      <c r="H21"/>
      <c r="I21"/>
      <c r="J21"/>
      <c r="K21"/>
    </row>
    <row r="22" spans="2:11" x14ac:dyDescent="0.3">
      <c r="B22"/>
      <c r="C22" s="35"/>
      <c r="D22"/>
      <c r="E22"/>
      <c r="F22"/>
      <c r="G22"/>
      <c r="H22"/>
      <c r="I22"/>
      <c r="J22"/>
      <c r="K22"/>
    </row>
    <row r="23" spans="2:11" x14ac:dyDescent="0.3">
      <c r="B23"/>
      <c r="C23" s="35">
        <v>46222.920138888891</v>
      </c>
      <c r="D23" s="36">
        <v>46222.940972222219</v>
      </c>
      <c r="E23" s="2" t="s">
        <v>1003</v>
      </c>
      <c r="F23"/>
      <c r="G23"/>
      <c r="H23"/>
      <c r="I23"/>
      <c r="J23"/>
      <c r="K23"/>
    </row>
    <row r="24" spans="2:11" x14ac:dyDescent="0.3">
      <c r="B24"/>
      <c r="C24"/>
      <c r="D24"/>
      <c r="E24" s="4" t="s">
        <v>319</v>
      </c>
      <c r="F24"/>
      <c r="G24"/>
      <c r="H24"/>
      <c r="I24"/>
      <c r="J24"/>
      <c r="K24"/>
    </row>
    <row r="25" spans="2:11" x14ac:dyDescent="0.3">
      <c r="B25"/>
      <c r="C25" s="35"/>
      <c r="D25"/>
      <c r="E25"/>
      <c r="F25"/>
      <c r="G25"/>
      <c r="H25"/>
      <c r="I25"/>
      <c r="J25"/>
      <c r="K25"/>
    </row>
    <row r="26" spans="2:11" x14ac:dyDescent="0.3">
      <c r="B26"/>
      <c r="C26" s="35">
        <v>46223.920138888891</v>
      </c>
      <c r="D26" s="36">
        <v>46223.940972222219</v>
      </c>
      <c r="E26" s="2" t="s">
        <v>311</v>
      </c>
      <c r="F26"/>
      <c r="G26"/>
      <c r="H26"/>
      <c r="I26"/>
      <c r="J26"/>
      <c r="K26"/>
    </row>
    <row r="27" spans="2:11" x14ac:dyDescent="0.3">
      <c r="B27"/>
      <c r="C27"/>
      <c r="D27"/>
      <c r="E27" s="4" t="s">
        <v>867</v>
      </c>
      <c r="F27"/>
      <c r="G27"/>
      <c r="H27"/>
      <c r="I27"/>
      <c r="J27"/>
      <c r="K27"/>
    </row>
    <row r="28" spans="2:11" x14ac:dyDescent="0.3">
      <c r="B28"/>
      <c r="C28"/>
      <c r="D28"/>
      <c r="E28" s="2" t="s">
        <v>313</v>
      </c>
      <c r="F28"/>
      <c r="G28"/>
      <c r="H28"/>
      <c r="I28"/>
      <c r="J28"/>
      <c r="K28"/>
    </row>
    <row r="29" spans="2:11" x14ac:dyDescent="0.3">
      <c r="B29"/>
      <c r="C29"/>
      <c r="D29"/>
      <c r="E29" s="4" t="s">
        <v>869</v>
      </c>
      <c r="F29"/>
      <c r="G29"/>
      <c r="H29"/>
      <c r="I29"/>
      <c r="J29"/>
      <c r="K29"/>
    </row>
    <row r="30" spans="2:11" x14ac:dyDescent="0.3">
      <c r="B30"/>
      <c r="C30"/>
      <c r="D30"/>
      <c r="E30" s="2" t="s">
        <v>985</v>
      </c>
      <c r="F30"/>
      <c r="G30"/>
      <c r="H30"/>
      <c r="I30"/>
      <c r="J30"/>
      <c r="K30"/>
    </row>
    <row r="31" spans="2:11" x14ac:dyDescent="0.3">
      <c r="B31"/>
      <c r="C31"/>
      <c r="D31"/>
      <c r="E31" s="4" t="s">
        <v>869</v>
      </c>
      <c r="F31"/>
      <c r="G31"/>
      <c r="H31"/>
      <c r="I31"/>
      <c r="J31"/>
      <c r="K31"/>
    </row>
    <row r="32" spans="2:11" x14ac:dyDescent="0.3">
      <c r="B32"/>
      <c r="C32" s="35"/>
      <c r="D32"/>
      <c r="E32"/>
      <c r="F32"/>
      <c r="G32"/>
      <c r="H32"/>
      <c r="I32"/>
      <c r="J32"/>
      <c r="K32"/>
    </row>
    <row r="33" spans="2:11" x14ac:dyDescent="0.3">
      <c r="B33"/>
      <c r="C33" s="35">
        <v>46244.920138888891</v>
      </c>
      <c r="D33" s="36">
        <v>46244.940972222219</v>
      </c>
      <c r="E33" s="2" t="s">
        <v>1092</v>
      </c>
      <c r="F33"/>
      <c r="G33"/>
      <c r="H33"/>
      <c r="I33"/>
      <c r="J33"/>
      <c r="K33"/>
    </row>
    <row r="34" spans="2:11" x14ac:dyDescent="0.3">
      <c r="B34"/>
      <c r="C34"/>
      <c r="D34"/>
      <c r="E34" s="4" t="s">
        <v>713</v>
      </c>
      <c r="F34"/>
      <c r="G34"/>
      <c r="H34"/>
      <c r="I34"/>
      <c r="J34"/>
      <c r="K34"/>
    </row>
    <row r="35" spans="2:11" x14ac:dyDescent="0.3">
      <c r="B35"/>
      <c r="C35" s="35"/>
      <c r="D35"/>
      <c r="E35"/>
      <c r="F35"/>
      <c r="G35"/>
      <c r="H35"/>
      <c r="I35"/>
      <c r="J35"/>
      <c r="K35"/>
    </row>
    <row r="36" spans="2:11" x14ac:dyDescent="0.3">
      <c r="B36"/>
      <c r="C36" s="35">
        <v>46593.920138888891</v>
      </c>
      <c r="D36" s="36">
        <v>46593.940972222219</v>
      </c>
      <c r="E36" s="2" t="s">
        <v>1051</v>
      </c>
      <c r="F36"/>
      <c r="G36"/>
      <c r="H36"/>
      <c r="I36"/>
      <c r="J36"/>
      <c r="K36"/>
    </row>
    <row r="37" spans="2:11" x14ac:dyDescent="0.3">
      <c r="B37"/>
      <c r="C37"/>
      <c r="D37"/>
      <c r="E37" s="4" t="s">
        <v>312</v>
      </c>
      <c r="F37"/>
      <c r="G37"/>
      <c r="H37"/>
      <c r="I37"/>
      <c r="J37"/>
      <c r="K37"/>
    </row>
    <row r="38" spans="2:11" x14ac:dyDescent="0.3">
      <c r="B38"/>
      <c r="C38" s="35"/>
      <c r="D38"/>
      <c r="E38"/>
      <c r="F38"/>
      <c r="G38"/>
      <c r="H38"/>
      <c r="I38"/>
      <c r="J38"/>
      <c r="K38"/>
    </row>
    <row r="39" spans="2:11" x14ac:dyDescent="0.3">
      <c r="B39" s="2" t="s">
        <v>17</v>
      </c>
      <c r="C39" s="35">
        <v>45853.333333333336</v>
      </c>
      <c r="D39" s="36">
        <v>45853.375</v>
      </c>
      <c r="E39" s="2" t="s">
        <v>978</v>
      </c>
      <c r="F39"/>
      <c r="G39"/>
      <c r="H39"/>
      <c r="I39"/>
      <c r="J39"/>
      <c r="K39"/>
    </row>
    <row r="40" spans="2:11" x14ac:dyDescent="0.3">
      <c r="B40"/>
      <c r="C40"/>
      <c r="D40"/>
      <c r="E40" s="4" t="s">
        <v>979</v>
      </c>
      <c r="F40"/>
      <c r="G40"/>
      <c r="H40"/>
      <c r="I40"/>
      <c r="J40"/>
      <c r="K40"/>
    </row>
    <row r="41" spans="2:11" x14ac:dyDescent="0.3">
      <c r="B41"/>
      <c r="C41" s="35"/>
      <c r="D41"/>
      <c r="E41"/>
      <c r="F41"/>
      <c r="G41"/>
      <c r="H41"/>
      <c r="I41"/>
      <c r="J41"/>
      <c r="K41"/>
    </row>
    <row r="42" spans="2:11" x14ac:dyDescent="0.3">
      <c r="B42"/>
      <c r="C42" s="35">
        <v>45861.375</v>
      </c>
      <c r="D42" s="36">
        <v>45861.458333333336</v>
      </c>
      <c r="E42" s="2" t="s">
        <v>1009</v>
      </c>
      <c r="F42"/>
      <c r="G42"/>
      <c r="H42"/>
      <c r="I42"/>
      <c r="J42"/>
      <c r="K42"/>
    </row>
    <row r="43" spans="2:11" x14ac:dyDescent="0.3">
      <c r="B43"/>
      <c r="C43"/>
      <c r="D43"/>
      <c r="E43" s="4" t="s">
        <v>713</v>
      </c>
      <c r="F43"/>
      <c r="G43"/>
      <c r="H43"/>
      <c r="I43"/>
      <c r="J43"/>
      <c r="K43"/>
    </row>
    <row r="44" spans="2:11" x14ac:dyDescent="0.3">
      <c r="B44"/>
      <c r="C44" s="35"/>
      <c r="D44"/>
      <c r="E44"/>
      <c r="F44"/>
      <c r="G44"/>
      <c r="H44"/>
      <c r="I44"/>
      <c r="J44"/>
      <c r="K44"/>
    </row>
    <row r="45" spans="2:11" x14ac:dyDescent="0.3">
      <c r="B45"/>
      <c r="C45" s="35">
        <v>45862.291666666664</v>
      </c>
      <c r="D45" s="36">
        <v>45862.3125</v>
      </c>
      <c r="E45" s="2" t="s">
        <v>868</v>
      </c>
      <c r="F45"/>
      <c r="G45"/>
      <c r="H45"/>
      <c r="I45"/>
      <c r="J45"/>
      <c r="K45"/>
    </row>
    <row r="46" spans="2:11" x14ac:dyDescent="0.3">
      <c r="B46"/>
      <c r="C46"/>
      <c r="D46"/>
      <c r="E46" s="4" t="s">
        <v>1028</v>
      </c>
      <c r="F46"/>
      <c r="G46"/>
      <c r="H46"/>
      <c r="I46"/>
      <c r="J46"/>
      <c r="K46"/>
    </row>
    <row r="47" spans="2:11" x14ac:dyDescent="0.3">
      <c r="B47"/>
      <c r="C47"/>
      <c r="D47"/>
      <c r="E47" s="2" t="s">
        <v>1027</v>
      </c>
      <c r="F47"/>
      <c r="G47"/>
      <c r="H47"/>
      <c r="I47"/>
      <c r="J47"/>
      <c r="K47"/>
    </row>
    <row r="48" spans="2:11" x14ac:dyDescent="0.3">
      <c r="B48"/>
      <c r="C48"/>
      <c r="D48"/>
      <c r="E48" s="4" t="s">
        <v>1028</v>
      </c>
      <c r="F48"/>
      <c r="G48"/>
      <c r="H48"/>
      <c r="I48"/>
      <c r="J48"/>
      <c r="K48"/>
    </row>
    <row r="49" spans="2:11" x14ac:dyDescent="0.3">
      <c r="B49"/>
      <c r="C49" s="35"/>
      <c r="D49"/>
      <c r="E49"/>
      <c r="F49"/>
      <c r="G49"/>
      <c r="H49"/>
      <c r="I49"/>
      <c r="J49"/>
      <c r="K49"/>
    </row>
    <row r="50" spans="2:11" x14ac:dyDescent="0.3">
      <c r="B50"/>
      <c r="C50" s="35">
        <v>45862.3125</v>
      </c>
      <c r="D50" s="36">
        <v>45862.333333333336</v>
      </c>
      <c r="E50" s="2" t="s">
        <v>985</v>
      </c>
      <c r="F50"/>
      <c r="G50"/>
      <c r="H50"/>
      <c r="I50"/>
      <c r="J50"/>
      <c r="K50"/>
    </row>
    <row r="51" spans="2:11" x14ac:dyDescent="0.3">
      <c r="B51"/>
      <c r="C51"/>
      <c r="D51"/>
      <c r="E51" s="4" t="s">
        <v>1028</v>
      </c>
      <c r="F51"/>
      <c r="G51"/>
      <c r="H51"/>
      <c r="I51"/>
      <c r="J51"/>
      <c r="K51"/>
    </row>
    <row r="52" spans="2:11" x14ac:dyDescent="0.3">
      <c r="B52"/>
      <c r="C52" s="35"/>
      <c r="D52"/>
      <c r="E52"/>
      <c r="F52"/>
      <c r="G52"/>
      <c r="H52"/>
      <c r="I52"/>
      <c r="J52"/>
      <c r="K52"/>
    </row>
    <row r="53" spans="2:11" x14ac:dyDescent="0.3">
      <c r="B53"/>
      <c r="C53" s="35">
        <v>45862.458333333336</v>
      </c>
      <c r="D53" s="36">
        <v>45862.479166666664</v>
      </c>
      <c r="E53" s="2" t="s">
        <v>868</v>
      </c>
      <c r="F53"/>
      <c r="G53"/>
      <c r="H53"/>
      <c r="I53"/>
      <c r="J53"/>
      <c r="K53"/>
    </row>
    <row r="54" spans="2:11" x14ac:dyDescent="0.3">
      <c r="B54"/>
      <c r="C54"/>
      <c r="D54"/>
      <c r="E54" s="4" t="s">
        <v>713</v>
      </c>
      <c r="F54"/>
      <c r="G54"/>
      <c r="H54"/>
      <c r="I54"/>
      <c r="J54"/>
      <c r="K54"/>
    </row>
    <row r="55" spans="2:11" x14ac:dyDescent="0.3">
      <c r="B55"/>
      <c r="C55" s="35"/>
      <c r="D55"/>
      <c r="E55"/>
      <c r="F55"/>
      <c r="G55"/>
      <c r="H55"/>
      <c r="I55"/>
      <c r="J55"/>
      <c r="K55"/>
    </row>
    <row r="56" spans="2:11" x14ac:dyDescent="0.3">
      <c r="B56" s="2" t="s">
        <v>986</v>
      </c>
      <c r="C56" s="35">
        <v>45859.375</v>
      </c>
      <c r="D56" s="36">
        <v>45859.4375</v>
      </c>
      <c r="E56" s="2" t="s">
        <v>985</v>
      </c>
      <c r="F56"/>
      <c r="G56"/>
      <c r="H56"/>
      <c r="I56"/>
      <c r="J56"/>
      <c r="K56"/>
    </row>
    <row r="57" spans="2:11" x14ac:dyDescent="0.3">
      <c r="B57"/>
      <c r="C57"/>
      <c r="D57"/>
      <c r="E57" s="4" t="s">
        <v>869</v>
      </c>
      <c r="F57"/>
      <c r="G57"/>
      <c r="H57"/>
      <c r="I57"/>
      <c r="J57"/>
      <c r="K57"/>
    </row>
    <row r="58" spans="2:11" x14ac:dyDescent="0.3">
      <c r="B58"/>
      <c r="C58" s="35"/>
      <c r="D58"/>
      <c r="E58"/>
      <c r="F58"/>
      <c r="G58"/>
      <c r="H58"/>
      <c r="I58"/>
      <c r="J58"/>
      <c r="K58"/>
    </row>
    <row r="59" spans="2:11" x14ac:dyDescent="0.3">
      <c r="B59"/>
      <c r="C59" s="35">
        <v>45859.479166666664</v>
      </c>
      <c r="D59" s="36">
        <v>45859.5</v>
      </c>
      <c r="E59" s="2" t="s">
        <v>868</v>
      </c>
      <c r="F59"/>
      <c r="G59"/>
      <c r="H59"/>
      <c r="I59"/>
      <c r="J59"/>
      <c r="K59"/>
    </row>
    <row r="60" spans="2:11" x14ac:dyDescent="0.3">
      <c r="B60"/>
      <c r="C60"/>
      <c r="D60"/>
      <c r="E60" s="4" t="s">
        <v>869</v>
      </c>
      <c r="F60"/>
      <c r="G60"/>
      <c r="H60"/>
      <c r="I60"/>
      <c r="J60"/>
      <c r="K60"/>
    </row>
    <row r="61" spans="2:11" x14ac:dyDescent="0.3">
      <c r="B61"/>
      <c r="C61" s="35"/>
      <c r="D61"/>
      <c r="E61"/>
      <c r="F61"/>
      <c r="G61"/>
      <c r="H61"/>
      <c r="I61"/>
      <c r="J61"/>
      <c r="K61"/>
    </row>
    <row r="62" spans="2:11" x14ac:dyDescent="0.3">
      <c r="B62"/>
      <c r="C62" s="35">
        <v>45876.333333333336</v>
      </c>
      <c r="D62" s="36">
        <v>45876.375</v>
      </c>
      <c r="E62" s="2" t="s">
        <v>806</v>
      </c>
      <c r="F62"/>
      <c r="G62"/>
      <c r="H62"/>
      <c r="I62"/>
      <c r="J62"/>
      <c r="K62"/>
    </row>
    <row r="63" spans="2:11" x14ac:dyDescent="0.3">
      <c r="B63"/>
      <c r="C63"/>
      <c r="D63"/>
      <c r="E63" s="4" t="s">
        <v>1022</v>
      </c>
      <c r="F63"/>
      <c r="G63"/>
      <c r="H63"/>
      <c r="I63"/>
      <c r="J63"/>
      <c r="K63"/>
    </row>
    <row r="64" spans="2:11" x14ac:dyDescent="0.3">
      <c r="B64"/>
      <c r="C64" s="35"/>
      <c r="D64"/>
      <c r="E64"/>
      <c r="F64"/>
      <c r="G64"/>
      <c r="H64"/>
      <c r="I64"/>
      <c r="J64"/>
      <c r="K64"/>
    </row>
    <row r="65" spans="2:11" x14ac:dyDescent="0.3">
      <c r="B65"/>
      <c r="C65" s="35">
        <v>45876.5</v>
      </c>
      <c r="D65" s="36">
        <v>45876.541666666664</v>
      </c>
      <c r="E65" s="2" t="s">
        <v>978</v>
      </c>
      <c r="F65"/>
      <c r="G65"/>
      <c r="H65"/>
      <c r="I65"/>
      <c r="J65"/>
      <c r="K65"/>
    </row>
    <row r="66" spans="2:11" x14ac:dyDescent="0.3">
      <c r="B66"/>
      <c r="C66"/>
      <c r="D66"/>
      <c r="E66" s="4" t="s">
        <v>713</v>
      </c>
      <c r="F66"/>
      <c r="G66"/>
      <c r="H66"/>
      <c r="I66"/>
      <c r="J66"/>
      <c r="K66"/>
    </row>
    <row r="67" spans="2:11" x14ac:dyDescent="0.3">
      <c r="B67"/>
      <c r="C67" s="35"/>
      <c r="D67"/>
      <c r="E67"/>
      <c r="F67"/>
      <c r="G67"/>
      <c r="H67"/>
      <c r="I67"/>
      <c r="J67"/>
      <c r="K67"/>
    </row>
    <row r="68" spans="2:11" x14ac:dyDescent="0.3">
      <c r="B68"/>
      <c r="C68" s="35">
        <v>45902.479166666664</v>
      </c>
      <c r="D68" s="36">
        <v>45902.5</v>
      </c>
      <c r="E68" s="2" t="s">
        <v>868</v>
      </c>
      <c r="F68"/>
      <c r="G68"/>
      <c r="H68"/>
      <c r="I68"/>
      <c r="J68"/>
      <c r="K68"/>
    </row>
    <row r="69" spans="2:11" x14ac:dyDescent="0.3">
      <c r="B69"/>
      <c r="C69"/>
      <c r="D69"/>
      <c r="E69" s="4" t="s">
        <v>713</v>
      </c>
      <c r="F69"/>
      <c r="G69"/>
      <c r="H69"/>
      <c r="I69"/>
      <c r="J69"/>
      <c r="K69"/>
    </row>
    <row r="70" spans="2:11" x14ac:dyDescent="0.3">
      <c r="B70"/>
      <c r="C70" s="35"/>
      <c r="D70"/>
      <c r="E70"/>
      <c r="F70"/>
      <c r="G70"/>
      <c r="H70"/>
      <c r="I70"/>
      <c r="J70"/>
      <c r="K70"/>
    </row>
    <row r="71" spans="2:11" x14ac:dyDescent="0.3">
      <c r="B71"/>
      <c r="C71" s="35">
        <v>45903.291666666664</v>
      </c>
      <c r="D71" s="36">
        <v>45903.3125</v>
      </c>
      <c r="E71" s="2" t="s">
        <v>985</v>
      </c>
      <c r="F71"/>
      <c r="G71"/>
      <c r="H71"/>
      <c r="I71"/>
      <c r="J71"/>
      <c r="K71"/>
    </row>
    <row r="72" spans="2:11" x14ac:dyDescent="0.3">
      <c r="B72"/>
      <c r="C72"/>
      <c r="D72"/>
      <c r="E72" s="4" t="s">
        <v>1028</v>
      </c>
      <c r="F72"/>
      <c r="G72"/>
      <c r="H72"/>
      <c r="I72"/>
      <c r="J72"/>
      <c r="K72"/>
    </row>
    <row r="73" spans="2:11" x14ac:dyDescent="0.3">
      <c r="B73"/>
      <c r="C73" s="35"/>
      <c r="D73"/>
      <c r="E73"/>
      <c r="F73"/>
      <c r="G73"/>
      <c r="H73"/>
      <c r="I73"/>
      <c r="J73"/>
      <c r="K73"/>
    </row>
    <row r="74" spans="2:11" x14ac:dyDescent="0.3">
      <c r="B74"/>
      <c r="C74" s="35">
        <v>45904.458333333336</v>
      </c>
      <c r="D74" s="36">
        <v>45904.5</v>
      </c>
      <c r="E74" s="2" t="s">
        <v>1007</v>
      </c>
      <c r="F74"/>
      <c r="G74"/>
      <c r="H74"/>
      <c r="I74"/>
      <c r="J74"/>
      <c r="K74"/>
    </row>
    <row r="75" spans="2:11" x14ac:dyDescent="0.3">
      <c r="B75"/>
      <c r="C75"/>
      <c r="D75"/>
      <c r="E75" s="4" t="s">
        <v>869</v>
      </c>
      <c r="F75"/>
      <c r="G75"/>
      <c r="H75"/>
      <c r="I75"/>
      <c r="J75"/>
      <c r="K75"/>
    </row>
    <row r="76" spans="2:11" x14ac:dyDescent="0.3">
      <c r="B76"/>
      <c r="C76" s="35"/>
      <c r="D76"/>
      <c r="E76"/>
      <c r="F76"/>
      <c r="G76"/>
      <c r="H76"/>
      <c r="I76"/>
      <c r="J76"/>
      <c r="K76"/>
    </row>
    <row r="77" spans="2:11" x14ac:dyDescent="0.3">
      <c r="B77"/>
      <c r="C77" s="35">
        <v>45905.5</v>
      </c>
      <c r="D77" s="36">
        <v>45905.541666666664</v>
      </c>
      <c r="E77" s="2" t="s">
        <v>820</v>
      </c>
      <c r="F77"/>
      <c r="G77"/>
      <c r="H77"/>
      <c r="I77"/>
      <c r="J77"/>
      <c r="K77"/>
    </row>
    <row r="78" spans="2:11" x14ac:dyDescent="0.3">
      <c r="B78"/>
      <c r="C78"/>
      <c r="D78"/>
      <c r="E78" s="4" t="s">
        <v>869</v>
      </c>
      <c r="F78"/>
      <c r="G78"/>
      <c r="H78"/>
      <c r="I78"/>
      <c r="J78"/>
      <c r="K78"/>
    </row>
    <row r="79" spans="2:11" x14ac:dyDescent="0.3">
      <c r="B79"/>
      <c r="C79" s="35"/>
      <c r="D79"/>
      <c r="E79"/>
      <c r="F79"/>
      <c r="G79"/>
      <c r="H79"/>
      <c r="I79"/>
      <c r="J79"/>
      <c r="K79"/>
    </row>
    <row r="80" spans="2:11" x14ac:dyDescent="0.3">
      <c r="B80"/>
      <c r="C80" s="35">
        <v>45908.333333333336</v>
      </c>
      <c r="D80" s="36">
        <v>45908.354166666664</v>
      </c>
      <c r="E80" s="2" t="s">
        <v>806</v>
      </c>
      <c r="F80"/>
      <c r="G80"/>
      <c r="H80"/>
      <c r="I80"/>
      <c r="J80"/>
      <c r="K80"/>
    </row>
    <row r="81" spans="2:11" x14ac:dyDescent="0.3">
      <c r="B81"/>
      <c r="C81"/>
      <c r="D81"/>
      <c r="E81" s="4" t="s">
        <v>1022</v>
      </c>
      <c r="F81"/>
      <c r="G81"/>
      <c r="H81"/>
      <c r="I81"/>
      <c r="J81"/>
      <c r="K81"/>
    </row>
    <row r="82" spans="2:11" x14ac:dyDescent="0.3">
      <c r="B82"/>
      <c r="C82" s="35"/>
      <c r="D82"/>
      <c r="E82"/>
      <c r="F82"/>
      <c r="G82"/>
      <c r="H82"/>
      <c r="I82"/>
      <c r="J82"/>
      <c r="K82"/>
    </row>
    <row r="83" spans="2:11" x14ac:dyDescent="0.3">
      <c r="B83"/>
      <c r="C83" s="35">
        <v>45915.333333333336</v>
      </c>
      <c r="D83" s="36">
        <v>45915.375</v>
      </c>
      <c r="E83" s="2" t="s">
        <v>1077</v>
      </c>
      <c r="F83"/>
      <c r="G83"/>
      <c r="H83"/>
      <c r="I83"/>
      <c r="J83"/>
      <c r="K83"/>
    </row>
    <row r="84" spans="2:11" x14ac:dyDescent="0.3">
      <c r="B84"/>
      <c r="C84"/>
      <c r="D84"/>
      <c r="E84" s="4" t="s">
        <v>1078</v>
      </c>
      <c r="F84"/>
      <c r="G84"/>
      <c r="H84"/>
      <c r="I84"/>
      <c r="J84"/>
      <c r="K84"/>
    </row>
    <row r="85" spans="2:11" x14ac:dyDescent="0.3">
      <c r="B85"/>
      <c r="C85" s="35"/>
      <c r="D85"/>
      <c r="E85"/>
      <c r="F85"/>
      <c r="G85"/>
      <c r="H85"/>
      <c r="I85"/>
      <c r="J85"/>
      <c r="K85"/>
    </row>
    <row r="86" spans="2:11" x14ac:dyDescent="0.3">
      <c r="B86"/>
      <c r="C86"/>
      <c r="D86"/>
      <c r="E86"/>
      <c r="F86"/>
      <c r="G86"/>
      <c r="H86"/>
      <c r="I86"/>
      <c r="J86"/>
      <c r="K86"/>
    </row>
    <row r="87" spans="2:11" x14ac:dyDescent="0.3">
      <c r="B87"/>
      <c r="C87"/>
      <c r="D87"/>
      <c r="E87"/>
      <c r="F87"/>
      <c r="G87"/>
      <c r="H87"/>
      <c r="I87"/>
      <c r="J87"/>
      <c r="K87"/>
    </row>
    <row r="88" spans="2:11" x14ac:dyDescent="0.3">
      <c r="B88"/>
      <c r="C88"/>
      <c r="D88"/>
      <c r="E88"/>
      <c r="F88"/>
      <c r="G88"/>
      <c r="H88"/>
      <c r="I88"/>
      <c r="J88"/>
      <c r="K88"/>
    </row>
    <row r="89" spans="2:11" x14ac:dyDescent="0.3">
      <c r="B89"/>
      <c r="C89"/>
      <c r="D89"/>
      <c r="E89"/>
      <c r="F89"/>
      <c r="G89"/>
      <c r="H89"/>
      <c r="I89"/>
      <c r="J89"/>
      <c r="K89"/>
    </row>
    <row r="90" spans="2:11" x14ac:dyDescent="0.3">
      <c r="B90"/>
      <c r="C90"/>
      <c r="D90"/>
      <c r="E90"/>
      <c r="F90"/>
      <c r="G90"/>
      <c r="H90"/>
      <c r="I90"/>
      <c r="J90"/>
      <c r="K90"/>
    </row>
    <row r="91" spans="2:11" x14ac:dyDescent="0.3">
      <c r="B91"/>
      <c r="C91"/>
      <c r="D91"/>
      <c r="E91"/>
      <c r="F91"/>
      <c r="G91"/>
      <c r="H91"/>
      <c r="I91"/>
      <c r="J91"/>
      <c r="K91"/>
    </row>
    <row r="92" spans="2:11" x14ac:dyDescent="0.3">
      <c r="B92"/>
      <c r="C92"/>
      <c r="D92"/>
      <c r="E92"/>
      <c r="F92"/>
      <c r="G92"/>
      <c r="H92"/>
      <c r="I92"/>
      <c r="J92"/>
      <c r="K92"/>
    </row>
    <row r="93" spans="2:11" x14ac:dyDescent="0.3">
      <c r="B93"/>
      <c r="C93"/>
      <c r="D93"/>
      <c r="E93"/>
      <c r="F93"/>
      <c r="G93"/>
      <c r="H93"/>
      <c r="I93"/>
      <c r="J93"/>
      <c r="K93"/>
    </row>
    <row r="94" spans="2:11" x14ac:dyDescent="0.3">
      <c r="B94"/>
      <c r="C94"/>
      <c r="D94"/>
      <c r="E94"/>
      <c r="F94"/>
      <c r="G94"/>
      <c r="H94"/>
      <c r="I94"/>
      <c r="J94"/>
      <c r="K94"/>
    </row>
    <row r="95" spans="2:11" x14ac:dyDescent="0.3">
      <c r="B95"/>
      <c r="C95"/>
      <c r="D95"/>
      <c r="E95"/>
      <c r="F95"/>
      <c r="G95"/>
      <c r="H95"/>
      <c r="I95"/>
      <c r="J95"/>
      <c r="K95"/>
    </row>
    <row r="96" spans="2:11" x14ac:dyDescent="0.3">
      <c r="B96"/>
      <c r="C96"/>
      <c r="D96"/>
      <c r="E96"/>
      <c r="F96"/>
      <c r="G96"/>
      <c r="H96"/>
      <c r="I96"/>
      <c r="J96"/>
      <c r="K96"/>
    </row>
    <row r="97" spans="2:11" x14ac:dyDescent="0.3">
      <c r="B97"/>
      <c r="C97"/>
      <c r="D97"/>
      <c r="E97"/>
      <c r="F97"/>
      <c r="G97"/>
      <c r="H97"/>
      <c r="I97"/>
      <c r="J97"/>
      <c r="K97"/>
    </row>
    <row r="98" spans="2:11" x14ac:dyDescent="0.3">
      <c r="B98"/>
      <c r="C98"/>
      <c r="D98"/>
      <c r="E98"/>
      <c r="F98"/>
      <c r="G98"/>
      <c r="H98"/>
      <c r="I98"/>
      <c r="J98"/>
      <c r="K98"/>
    </row>
    <row r="99" spans="2:11" x14ac:dyDescent="0.3">
      <c r="B99"/>
      <c r="C99"/>
      <c r="D99"/>
      <c r="E99"/>
      <c r="F99"/>
      <c r="G99"/>
      <c r="H99"/>
      <c r="I99"/>
      <c r="J99"/>
      <c r="K99"/>
    </row>
    <row r="100" spans="2:11" x14ac:dyDescent="0.3">
      <c r="B100"/>
      <c r="C100"/>
      <c r="D100"/>
      <c r="E100"/>
      <c r="F100"/>
      <c r="G100"/>
      <c r="H100"/>
      <c r="I100"/>
      <c r="J100"/>
      <c r="K100"/>
    </row>
    <row r="101" spans="2:11" x14ac:dyDescent="0.3">
      <c r="B101"/>
      <c r="C101"/>
      <c r="D101"/>
      <c r="E101"/>
      <c r="F101"/>
      <c r="G101"/>
      <c r="H101"/>
      <c r="I101"/>
      <c r="J101"/>
      <c r="K101"/>
    </row>
    <row r="102" spans="2:11" x14ac:dyDescent="0.3">
      <c r="B102"/>
      <c r="C102"/>
      <c r="D102"/>
      <c r="E102"/>
      <c r="F102"/>
      <c r="G102"/>
      <c r="H102"/>
      <c r="I102"/>
      <c r="J102"/>
      <c r="K102"/>
    </row>
    <row r="103" spans="2:11" x14ac:dyDescent="0.3">
      <c r="B103"/>
      <c r="C103"/>
      <c r="D103"/>
      <c r="E103"/>
      <c r="F103"/>
      <c r="G103"/>
      <c r="H103"/>
      <c r="I103"/>
      <c r="J103"/>
      <c r="K103"/>
    </row>
    <row r="104" spans="2:11" x14ac:dyDescent="0.3">
      <c r="B104"/>
      <c r="C104"/>
      <c r="D104"/>
      <c r="E104"/>
      <c r="F104"/>
      <c r="G104"/>
      <c r="H104"/>
      <c r="I104"/>
      <c r="J104"/>
      <c r="K104"/>
    </row>
    <row r="105" spans="2:11" x14ac:dyDescent="0.3">
      <c r="B105"/>
      <c r="C105"/>
      <c r="D105"/>
      <c r="E105"/>
      <c r="F105"/>
      <c r="G105"/>
      <c r="H105"/>
      <c r="I105"/>
      <c r="J105"/>
      <c r="K105"/>
    </row>
    <row r="106" spans="2:11" x14ac:dyDescent="0.3">
      <c r="B106"/>
      <c r="C106"/>
      <c r="D106"/>
      <c r="E106"/>
      <c r="F106"/>
      <c r="G106"/>
      <c r="H106"/>
      <c r="I106"/>
      <c r="J106"/>
      <c r="K106"/>
    </row>
    <row r="107" spans="2:11" x14ac:dyDescent="0.3">
      <c r="B107"/>
      <c r="C107"/>
      <c r="D107"/>
      <c r="E107"/>
      <c r="F107"/>
      <c r="G107"/>
      <c r="H107"/>
      <c r="I107"/>
      <c r="J107"/>
      <c r="K107"/>
    </row>
    <row r="108" spans="2:11" x14ac:dyDescent="0.3">
      <c r="B108"/>
      <c r="C108"/>
      <c r="D108"/>
      <c r="E108"/>
      <c r="F108"/>
      <c r="G108"/>
      <c r="H108"/>
      <c r="I108"/>
      <c r="J108"/>
      <c r="K108"/>
    </row>
    <row r="109" spans="2:11" x14ac:dyDescent="0.3">
      <c r="B109"/>
      <c r="C109"/>
      <c r="D109"/>
      <c r="E109"/>
      <c r="F109"/>
      <c r="G109"/>
      <c r="H109"/>
      <c r="I109"/>
      <c r="J109"/>
      <c r="K109"/>
    </row>
    <row r="110" spans="2:11" x14ac:dyDescent="0.3">
      <c r="B110"/>
      <c r="C110"/>
      <c r="D110"/>
      <c r="E110"/>
      <c r="F110"/>
      <c r="G110"/>
      <c r="H110"/>
      <c r="I110"/>
      <c r="J110"/>
      <c r="K110"/>
    </row>
    <row r="111" spans="2:11" x14ac:dyDescent="0.3">
      <c r="B111"/>
      <c r="C111"/>
      <c r="D111"/>
      <c r="E111"/>
      <c r="F111"/>
      <c r="G111"/>
      <c r="H111"/>
      <c r="I111"/>
      <c r="J111"/>
      <c r="K111"/>
    </row>
    <row r="112" spans="2:11" x14ac:dyDescent="0.3">
      <c r="B112"/>
      <c r="C112"/>
      <c r="D112"/>
      <c r="E112"/>
    </row>
    <row r="113" spans="2:5" x14ac:dyDescent="0.3">
      <c r="B113"/>
      <c r="C113"/>
      <c r="D113"/>
      <c r="E113"/>
    </row>
    <row r="114" spans="2:5" x14ac:dyDescent="0.3">
      <c r="B114"/>
      <c r="C114"/>
      <c r="D114"/>
      <c r="E114"/>
    </row>
    <row r="115" spans="2:5" x14ac:dyDescent="0.3">
      <c r="B115"/>
      <c r="C115"/>
      <c r="D115"/>
      <c r="E115"/>
    </row>
    <row r="116" spans="2:5" x14ac:dyDescent="0.3">
      <c r="B116"/>
      <c r="C116"/>
      <c r="D116"/>
      <c r="E116"/>
    </row>
    <row r="117" spans="2:5" x14ac:dyDescent="0.3">
      <c r="B117"/>
      <c r="C117"/>
      <c r="D117"/>
      <c r="E117"/>
    </row>
    <row r="118" spans="2:5" x14ac:dyDescent="0.3">
      <c r="B118"/>
      <c r="C118"/>
      <c r="D118"/>
      <c r="E118"/>
    </row>
    <row r="119" spans="2:5" x14ac:dyDescent="0.3">
      <c r="B119"/>
      <c r="C119"/>
      <c r="D119"/>
      <c r="E119"/>
    </row>
    <row r="120" spans="2:5" x14ac:dyDescent="0.3">
      <c r="B120"/>
      <c r="C120"/>
      <c r="D120"/>
      <c r="E120"/>
    </row>
    <row r="121" spans="2:5" x14ac:dyDescent="0.3">
      <c r="B121"/>
      <c r="C121"/>
      <c r="D121"/>
      <c r="E121"/>
    </row>
    <row r="122" spans="2:5" x14ac:dyDescent="0.3">
      <c r="B122"/>
      <c r="C122"/>
      <c r="D122"/>
      <c r="E122"/>
    </row>
    <row r="123" spans="2:5" x14ac:dyDescent="0.3">
      <c r="B123"/>
      <c r="C123"/>
      <c r="D123"/>
      <c r="E123"/>
    </row>
    <row r="124" spans="2:5" x14ac:dyDescent="0.3">
      <c r="B124"/>
      <c r="C124"/>
      <c r="D124"/>
      <c r="E124"/>
    </row>
    <row r="125" spans="2:5" x14ac:dyDescent="0.3">
      <c r="B125"/>
      <c r="C125"/>
      <c r="D125"/>
      <c r="E125"/>
    </row>
  </sheetData>
  <mergeCells count="2">
    <mergeCell ref="B2:D2"/>
    <mergeCell ref="B3:D3"/>
  </mergeCells>
  <pageMargins left="0.70866141732283505" right="0.70866141732283505" top="0.74803149606299202" bottom="0.74803149606299202" header="0.31496062992126" footer="0.31496062992126"/>
  <pageSetup paperSize="9" scale="55" orientation="portrait" cellComments="atEnd" r:id="rId2"/>
  <headerFooter>
    <oddFooter>&amp;RSeite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3:R49"/>
  <sheetViews>
    <sheetView workbookViewId="0">
      <selection activeCell="R7" sqref="R7"/>
    </sheetView>
  </sheetViews>
  <sheetFormatPr defaultColWidth="8.88671875" defaultRowHeight="14.4" x14ac:dyDescent="0.3"/>
  <cols>
    <col min="1" max="1" width="20.6640625" customWidth="1"/>
    <col min="2" max="2" width="10.6640625" customWidth="1"/>
    <col min="3" max="3" width="5.6640625" customWidth="1"/>
    <col min="4" max="4" width="20.6640625" customWidth="1"/>
    <col min="5" max="5" width="10.6640625" customWidth="1"/>
    <col min="6" max="6" width="5.6640625" customWidth="1"/>
    <col min="7" max="7" width="20.6640625" customWidth="1"/>
    <col min="8" max="8" width="10.6640625" customWidth="1"/>
    <col min="9" max="9" width="5.6640625" customWidth="1"/>
    <col min="10" max="10" width="20.6640625" customWidth="1"/>
    <col min="11" max="11" width="15.6640625" customWidth="1"/>
    <col min="12" max="12" width="10" bestFit="1" customWidth="1"/>
    <col min="13" max="13" width="5.6640625" customWidth="1"/>
    <col min="14" max="14" width="16.77734375" bestFit="1" customWidth="1"/>
    <col min="15" max="15" width="15.5546875" bestFit="1" customWidth="1"/>
    <col min="16" max="16" width="9.33203125" bestFit="1" customWidth="1"/>
    <col min="17" max="17" width="10.77734375" bestFit="1" customWidth="1"/>
    <col min="18" max="18" width="15.33203125" bestFit="1" customWidth="1"/>
    <col min="19" max="19" width="13.44140625" bestFit="1" customWidth="1"/>
  </cols>
  <sheetData>
    <row r="3" spans="1:18" x14ac:dyDescent="0.3">
      <c r="A3" s="5" t="s">
        <v>1112</v>
      </c>
      <c r="D3" s="5" t="s">
        <v>1114</v>
      </c>
      <c r="G3" s="5" t="s">
        <v>1115</v>
      </c>
      <c r="J3" s="11" t="s">
        <v>1117</v>
      </c>
      <c r="M3" s="5"/>
      <c r="N3" s="11" t="s">
        <v>1120</v>
      </c>
      <c r="O3" s="5"/>
      <c r="P3" s="5"/>
      <c r="Q3" s="5"/>
      <c r="R3" s="11" t="s">
        <v>1123</v>
      </c>
    </row>
    <row r="4" spans="1:18" x14ac:dyDescent="0.3">
      <c r="A4" s="5"/>
      <c r="D4" s="5"/>
      <c r="G4" s="5"/>
    </row>
    <row r="5" spans="1:18" x14ac:dyDescent="0.3">
      <c r="D5" s="1" t="s">
        <v>1098</v>
      </c>
      <c r="E5" s="2">
        <v>2025</v>
      </c>
    </row>
    <row r="6" spans="1:18" x14ac:dyDescent="0.3">
      <c r="J6" s="1" t="s">
        <v>11</v>
      </c>
      <c r="K6" s="1" t="s">
        <v>1113</v>
      </c>
      <c r="N6" s="1" t="s">
        <v>11</v>
      </c>
      <c r="O6" s="1" t="s">
        <v>1113</v>
      </c>
    </row>
    <row r="7" spans="1:18" x14ac:dyDescent="0.3">
      <c r="A7" s="1" t="s">
        <v>1098</v>
      </c>
      <c r="B7" s="3" t="s">
        <v>1113</v>
      </c>
      <c r="D7" s="1" t="s">
        <v>1111</v>
      </c>
      <c r="E7" s="3" t="s">
        <v>1113</v>
      </c>
      <c r="G7" s="1" t="s">
        <v>1116</v>
      </c>
      <c r="H7" s="3" t="s">
        <v>1113</v>
      </c>
      <c r="J7" s="1" t="s">
        <v>1118</v>
      </c>
      <c r="K7" t="s">
        <v>1127</v>
      </c>
      <c r="L7" s="3" t="s">
        <v>1119</v>
      </c>
      <c r="N7" s="1" t="s">
        <v>1118</v>
      </c>
      <c r="O7" s="3" t="s">
        <v>1121</v>
      </c>
      <c r="P7" s="3" t="s">
        <v>1122</v>
      </c>
      <c r="R7" s="3" t="s">
        <v>1113</v>
      </c>
    </row>
    <row r="8" spans="1:18" x14ac:dyDescent="0.3">
      <c r="A8" s="2">
        <v>2021</v>
      </c>
      <c r="B8" s="44">
        <v>2</v>
      </c>
      <c r="D8" s="2" t="s">
        <v>1109</v>
      </c>
      <c r="E8" s="44">
        <v>76</v>
      </c>
      <c r="G8" s="2">
        <v>2021</v>
      </c>
      <c r="H8" s="44">
        <v>2</v>
      </c>
      <c r="J8" s="2">
        <v>2021</v>
      </c>
      <c r="K8" s="44"/>
      <c r="L8" s="44">
        <v>2</v>
      </c>
      <c r="N8" s="2">
        <v>2025</v>
      </c>
      <c r="O8" s="44">
        <v>42</v>
      </c>
      <c r="P8" s="44">
        <v>58</v>
      </c>
      <c r="R8" s="44">
        <v>28</v>
      </c>
    </row>
    <row r="9" spans="1:18" x14ac:dyDescent="0.3">
      <c r="A9" s="2">
        <v>2022</v>
      </c>
      <c r="B9" s="44">
        <v>163</v>
      </c>
      <c r="D9" s="2" t="s">
        <v>1110</v>
      </c>
      <c r="E9" s="44">
        <v>24</v>
      </c>
      <c r="G9" s="4" t="s">
        <v>17</v>
      </c>
      <c r="H9" s="44">
        <v>2</v>
      </c>
      <c r="J9" s="37" t="s">
        <v>680</v>
      </c>
      <c r="K9" s="44"/>
      <c r="L9" s="44">
        <v>2</v>
      </c>
      <c r="N9" s="4">
        <v>2</v>
      </c>
      <c r="O9" s="44">
        <v>13</v>
      </c>
      <c r="P9" s="44">
        <v>2</v>
      </c>
    </row>
    <row r="10" spans="1:18" x14ac:dyDescent="0.3">
      <c r="A10" s="2">
        <v>2023</v>
      </c>
      <c r="B10" s="44">
        <v>211</v>
      </c>
      <c r="G10" s="2">
        <v>2022</v>
      </c>
      <c r="H10" s="44">
        <v>163</v>
      </c>
      <c r="J10" s="2">
        <v>2022</v>
      </c>
      <c r="K10" s="44"/>
      <c r="L10" s="44">
        <v>163</v>
      </c>
      <c r="N10" s="4">
        <v>3</v>
      </c>
      <c r="O10" s="44">
        <v>8</v>
      </c>
      <c r="P10" s="44">
        <v>2</v>
      </c>
    </row>
    <row r="11" spans="1:18" x14ac:dyDescent="0.3">
      <c r="A11" s="2">
        <v>2024</v>
      </c>
      <c r="B11" s="44">
        <v>93</v>
      </c>
      <c r="G11" s="4" t="s">
        <v>436</v>
      </c>
      <c r="H11" s="44">
        <v>2</v>
      </c>
      <c r="J11" s="37" t="s">
        <v>682</v>
      </c>
      <c r="K11" s="44"/>
      <c r="L11" s="44">
        <v>19</v>
      </c>
      <c r="N11" s="4">
        <v>4</v>
      </c>
      <c r="O11" s="44">
        <v>1</v>
      </c>
      <c r="P11" s="44"/>
    </row>
    <row r="12" spans="1:18" x14ac:dyDescent="0.3">
      <c r="A12" s="2">
        <v>2025</v>
      </c>
      <c r="B12" s="44">
        <v>100</v>
      </c>
      <c r="G12" s="4" t="s">
        <v>479</v>
      </c>
      <c r="H12" s="44">
        <v>1</v>
      </c>
      <c r="J12" s="37" t="s">
        <v>683</v>
      </c>
      <c r="K12" s="44"/>
      <c r="L12" s="44">
        <v>8</v>
      </c>
      <c r="N12" s="4">
        <v>5</v>
      </c>
      <c r="O12" s="44">
        <v>17</v>
      </c>
      <c r="P12" s="44">
        <v>4</v>
      </c>
    </row>
    <row r="13" spans="1:18" x14ac:dyDescent="0.3">
      <c r="G13" s="4" t="s">
        <v>373</v>
      </c>
      <c r="H13" s="44">
        <v>8</v>
      </c>
      <c r="J13" s="37" t="s">
        <v>684</v>
      </c>
      <c r="K13" s="44"/>
      <c r="L13" s="44">
        <v>14</v>
      </c>
      <c r="N13" s="4">
        <v>6</v>
      </c>
      <c r="O13" s="44"/>
      <c r="P13" s="44">
        <v>17</v>
      </c>
    </row>
    <row r="14" spans="1:18" x14ac:dyDescent="0.3">
      <c r="G14" s="4" t="s">
        <v>17</v>
      </c>
      <c r="H14" s="44">
        <v>142</v>
      </c>
      <c r="J14" s="37" t="s">
        <v>685</v>
      </c>
      <c r="K14" s="44"/>
      <c r="L14" s="44">
        <v>17</v>
      </c>
      <c r="N14" s="4">
        <v>7</v>
      </c>
      <c r="O14" s="44">
        <v>1</v>
      </c>
      <c r="P14" s="44">
        <v>30</v>
      </c>
    </row>
    <row r="15" spans="1:18" x14ac:dyDescent="0.3">
      <c r="G15" s="4" t="s">
        <v>430</v>
      </c>
      <c r="H15" s="44">
        <v>10</v>
      </c>
      <c r="J15" s="37" t="s">
        <v>686</v>
      </c>
      <c r="K15" s="44"/>
      <c r="L15" s="44">
        <v>16</v>
      </c>
      <c r="N15" s="4" t="s">
        <v>32</v>
      </c>
      <c r="O15" s="44">
        <v>1</v>
      </c>
      <c r="P15" s="44"/>
    </row>
    <row r="16" spans="1:18" x14ac:dyDescent="0.3">
      <c r="G16" s="2">
        <v>2023</v>
      </c>
      <c r="H16" s="44">
        <v>211</v>
      </c>
      <c r="J16" s="37" t="s">
        <v>687</v>
      </c>
      <c r="K16" s="44"/>
      <c r="L16" s="44">
        <v>23</v>
      </c>
      <c r="N16" s="4" t="s">
        <v>1124</v>
      </c>
      <c r="O16" s="44">
        <v>1</v>
      </c>
      <c r="P16" s="44">
        <v>2</v>
      </c>
    </row>
    <row r="17" spans="7:16" x14ac:dyDescent="0.3">
      <c r="G17" s="4" t="s">
        <v>17</v>
      </c>
      <c r="H17" s="44">
        <v>211</v>
      </c>
      <c r="J17" s="37" t="s">
        <v>98</v>
      </c>
      <c r="K17" s="44"/>
      <c r="L17" s="44">
        <v>15</v>
      </c>
      <c r="N17" s="4" t="s">
        <v>1125</v>
      </c>
      <c r="O17" s="44"/>
      <c r="P17" s="44">
        <v>1</v>
      </c>
    </row>
    <row r="18" spans="7:16" x14ac:dyDescent="0.3">
      <c r="G18" s="2">
        <v>2024</v>
      </c>
      <c r="H18" s="44">
        <v>93</v>
      </c>
      <c r="J18" s="37" t="s">
        <v>681</v>
      </c>
      <c r="K18" s="44"/>
      <c r="L18" s="44">
        <v>25</v>
      </c>
    </row>
    <row r="19" spans="7:16" x14ac:dyDescent="0.3">
      <c r="G19" s="4" t="s">
        <v>479</v>
      </c>
      <c r="H19" s="44">
        <v>3</v>
      </c>
      <c r="J19" s="37" t="s">
        <v>680</v>
      </c>
      <c r="K19" s="44"/>
      <c r="L19" s="44">
        <v>26</v>
      </c>
    </row>
    <row r="20" spans="7:16" x14ac:dyDescent="0.3">
      <c r="G20" s="4" t="s">
        <v>711</v>
      </c>
      <c r="H20" s="44">
        <v>9</v>
      </c>
      <c r="J20" s="2">
        <v>2023</v>
      </c>
      <c r="K20" s="44"/>
      <c r="L20" s="44">
        <v>211</v>
      </c>
    </row>
    <row r="21" spans="7:16" x14ac:dyDescent="0.3">
      <c r="G21" s="4" t="s">
        <v>17</v>
      </c>
      <c r="H21" s="44">
        <v>81</v>
      </c>
      <c r="J21" s="37" t="s">
        <v>688</v>
      </c>
      <c r="K21" s="44"/>
      <c r="L21" s="44">
        <v>6</v>
      </c>
    </row>
    <row r="22" spans="7:16" x14ac:dyDescent="0.3">
      <c r="G22" s="2">
        <v>2025</v>
      </c>
      <c r="H22" s="44">
        <v>100</v>
      </c>
      <c r="J22" s="37" t="s">
        <v>689</v>
      </c>
      <c r="K22" s="44"/>
      <c r="L22" s="44">
        <v>23</v>
      </c>
    </row>
    <row r="23" spans="7:16" x14ac:dyDescent="0.3">
      <c r="G23" s="4" t="s">
        <v>17</v>
      </c>
      <c r="H23" s="44">
        <v>100</v>
      </c>
      <c r="J23" s="37" t="s">
        <v>690</v>
      </c>
      <c r="K23" s="44"/>
      <c r="L23" s="44">
        <v>23</v>
      </c>
    </row>
    <row r="24" spans="7:16" x14ac:dyDescent="0.3">
      <c r="J24" s="37" t="s">
        <v>682</v>
      </c>
      <c r="K24" s="44"/>
      <c r="L24" s="44">
        <v>7</v>
      </c>
    </row>
    <row r="25" spans="7:16" x14ac:dyDescent="0.3">
      <c r="J25" s="37" t="s">
        <v>683</v>
      </c>
      <c r="K25" s="44"/>
      <c r="L25" s="44">
        <v>24</v>
      </c>
    </row>
    <row r="26" spans="7:16" x14ac:dyDescent="0.3">
      <c r="J26" s="37" t="s">
        <v>684</v>
      </c>
      <c r="K26" s="44"/>
      <c r="L26" s="44">
        <v>10</v>
      </c>
    </row>
    <row r="27" spans="7:16" x14ac:dyDescent="0.3">
      <c r="J27" s="37" t="s">
        <v>685</v>
      </c>
      <c r="K27" s="44"/>
      <c r="L27" s="44">
        <v>9</v>
      </c>
    </row>
    <row r="28" spans="7:16" x14ac:dyDescent="0.3">
      <c r="J28" s="37" t="s">
        <v>686</v>
      </c>
      <c r="K28" s="44"/>
      <c r="L28" s="44">
        <v>20</v>
      </c>
    </row>
    <row r="29" spans="7:16" x14ac:dyDescent="0.3">
      <c r="J29" s="37" t="s">
        <v>687</v>
      </c>
      <c r="K29" s="44"/>
      <c r="L29" s="44">
        <v>9</v>
      </c>
    </row>
    <row r="30" spans="7:16" x14ac:dyDescent="0.3">
      <c r="J30" s="37" t="s">
        <v>98</v>
      </c>
      <c r="K30" s="44"/>
      <c r="L30" s="44">
        <v>52</v>
      </c>
    </row>
    <row r="31" spans="7:16" x14ac:dyDescent="0.3">
      <c r="J31" s="37" t="s">
        <v>681</v>
      </c>
      <c r="K31" s="44"/>
      <c r="L31" s="44">
        <v>18</v>
      </c>
    </row>
    <row r="32" spans="7:16" x14ac:dyDescent="0.3">
      <c r="J32" s="37" t="s">
        <v>680</v>
      </c>
      <c r="K32" s="44"/>
      <c r="L32" s="44">
        <v>10</v>
      </c>
    </row>
    <row r="33" spans="10:12" x14ac:dyDescent="0.3">
      <c r="J33" s="2">
        <v>2024</v>
      </c>
      <c r="K33" s="44"/>
      <c r="L33" s="44">
        <v>93</v>
      </c>
    </row>
    <row r="34" spans="10:12" x14ac:dyDescent="0.3">
      <c r="J34" s="37" t="s">
        <v>688</v>
      </c>
      <c r="K34" s="44"/>
      <c r="L34" s="44">
        <v>6</v>
      </c>
    </row>
    <row r="35" spans="10:12" x14ac:dyDescent="0.3">
      <c r="J35" s="37" t="s">
        <v>686</v>
      </c>
      <c r="K35" s="44"/>
      <c r="L35" s="44">
        <v>6</v>
      </c>
    </row>
    <row r="36" spans="10:12" x14ac:dyDescent="0.3">
      <c r="J36" s="37" t="s">
        <v>687</v>
      </c>
      <c r="K36" s="44"/>
      <c r="L36" s="44">
        <v>23</v>
      </c>
    </row>
    <row r="37" spans="10:12" x14ac:dyDescent="0.3">
      <c r="J37" s="37" t="s">
        <v>98</v>
      </c>
      <c r="K37" s="44"/>
      <c r="L37" s="44">
        <v>49</v>
      </c>
    </row>
    <row r="38" spans="10:12" x14ac:dyDescent="0.3">
      <c r="J38" s="37" t="s">
        <v>681</v>
      </c>
      <c r="K38" s="44"/>
      <c r="L38" s="44">
        <v>8</v>
      </c>
    </row>
    <row r="39" spans="10:12" x14ac:dyDescent="0.3">
      <c r="J39" s="37" t="s">
        <v>680</v>
      </c>
      <c r="K39" s="44"/>
      <c r="L39" s="44">
        <v>1</v>
      </c>
    </row>
    <row r="40" spans="10:12" x14ac:dyDescent="0.3">
      <c r="J40" s="2">
        <v>2025</v>
      </c>
      <c r="K40" s="44">
        <v>1</v>
      </c>
      <c r="L40" s="44">
        <v>99</v>
      </c>
    </row>
    <row r="41" spans="10:12" x14ac:dyDescent="0.3">
      <c r="J41" s="37" t="s">
        <v>688</v>
      </c>
      <c r="K41" s="44"/>
      <c r="L41" s="44">
        <v>1</v>
      </c>
    </row>
    <row r="42" spans="10:12" x14ac:dyDescent="0.3">
      <c r="J42" s="37" t="s">
        <v>689</v>
      </c>
      <c r="K42" s="44"/>
      <c r="L42" s="44">
        <v>15</v>
      </c>
    </row>
    <row r="43" spans="10:12" x14ac:dyDescent="0.3">
      <c r="J43" s="37" t="s">
        <v>690</v>
      </c>
      <c r="K43" s="44"/>
      <c r="L43" s="44">
        <v>10</v>
      </c>
    </row>
    <row r="44" spans="10:12" x14ac:dyDescent="0.3">
      <c r="J44" s="37" t="s">
        <v>682</v>
      </c>
      <c r="K44" s="44"/>
      <c r="L44" s="44">
        <v>1</v>
      </c>
    </row>
    <row r="45" spans="10:12" x14ac:dyDescent="0.3">
      <c r="J45" s="37" t="s">
        <v>683</v>
      </c>
      <c r="K45" s="44"/>
      <c r="L45" s="44">
        <v>21</v>
      </c>
    </row>
    <row r="46" spans="10:12" x14ac:dyDescent="0.3">
      <c r="J46" s="37" t="s">
        <v>684</v>
      </c>
      <c r="K46" s="44"/>
      <c r="L46" s="44">
        <v>17</v>
      </c>
    </row>
    <row r="47" spans="10:12" x14ac:dyDescent="0.3">
      <c r="J47" s="37" t="s">
        <v>685</v>
      </c>
      <c r="K47" s="44"/>
      <c r="L47" s="44">
        <v>31</v>
      </c>
    </row>
    <row r="48" spans="10:12" x14ac:dyDescent="0.3">
      <c r="J48" s="37" t="s">
        <v>686</v>
      </c>
      <c r="K48" s="44">
        <v>1</v>
      </c>
      <c r="L48" s="44">
        <v>2</v>
      </c>
    </row>
    <row r="49" spans="10:12" x14ac:dyDescent="0.3">
      <c r="J49" s="37" t="s">
        <v>687</v>
      </c>
      <c r="K49" s="44"/>
      <c r="L49" s="44">
        <v>1</v>
      </c>
    </row>
  </sheetData>
  <pageMargins left="0.7" right="0.7" top="0.75" bottom="0.75" header="0.3" footer="0.3"/>
  <pageSetup paperSize="9"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0C08D-E141-495D-98EA-B51A92394876}">
  <sheetPr codeName="Tabelle1"/>
  <dimension ref="A1:AS570"/>
  <sheetViews>
    <sheetView workbookViewId="0">
      <selection activeCell="E1" sqref="E1"/>
    </sheetView>
  </sheetViews>
  <sheetFormatPr defaultColWidth="8.88671875" defaultRowHeight="14.4" x14ac:dyDescent="0.3"/>
  <cols>
    <col min="1" max="1" width="4.88671875" bestFit="1" customWidth="1"/>
    <col min="2" max="2" width="19.6640625" bestFit="1" customWidth="1"/>
    <col min="3" max="3" width="31.33203125" bestFit="1" customWidth="1"/>
    <col min="4" max="4" width="64" bestFit="1" customWidth="1"/>
    <col min="5" max="5" width="67.109375" bestFit="1" customWidth="1"/>
    <col min="6" max="6" width="12.88671875" bestFit="1" customWidth="1"/>
    <col min="7" max="8" width="13.33203125" bestFit="1" customWidth="1"/>
    <col min="9" max="9" width="11.109375" bestFit="1" customWidth="1"/>
    <col min="10" max="10" width="14.21875" bestFit="1" customWidth="1"/>
    <col min="11" max="11" width="15" bestFit="1" customWidth="1"/>
    <col min="12" max="12" width="39.33203125" style="39" bestFit="1" customWidth="1"/>
    <col min="13" max="13" width="17" bestFit="1" customWidth="1"/>
    <col min="14" max="14" width="23" bestFit="1" customWidth="1"/>
    <col min="15" max="15" width="20.88671875" style="39" bestFit="1" customWidth="1"/>
    <col min="16" max="16" width="42.6640625" style="38" bestFit="1" customWidth="1"/>
    <col min="17" max="17" width="53.5546875" bestFit="1" customWidth="1"/>
    <col min="18" max="18" width="18.5546875" bestFit="1" customWidth="1"/>
    <col min="19" max="19" width="15.6640625" bestFit="1" customWidth="1"/>
    <col min="20" max="20" width="80.88671875" bestFit="1" customWidth="1"/>
    <col min="21" max="21" width="15.5546875" bestFit="1" customWidth="1"/>
    <col min="22" max="22" width="12.44140625" bestFit="1" customWidth="1"/>
    <col min="23" max="23" width="11.109375" bestFit="1" customWidth="1"/>
    <col min="24" max="24" width="12.33203125" bestFit="1" customWidth="1"/>
    <col min="25" max="25" width="13.21875" bestFit="1" customWidth="1"/>
    <col min="26" max="26" width="16.33203125" bestFit="1" customWidth="1"/>
    <col min="27" max="27" width="15.5546875" bestFit="1" customWidth="1"/>
    <col min="28" max="29" width="31.44140625" bestFit="1" customWidth="1"/>
    <col min="30" max="30" width="17" bestFit="1" customWidth="1"/>
    <col min="31" max="31" width="22.88671875" bestFit="1" customWidth="1"/>
    <col min="32" max="32" width="20.77734375" bestFit="1" customWidth="1"/>
    <col min="33" max="33" width="42.44140625" bestFit="1" customWidth="1"/>
    <col min="34" max="34" width="53.33203125" bestFit="1" customWidth="1"/>
    <col min="35" max="35" width="18.44140625" bestFit="1" customWidth="1"/>
    <col min="36" max="36" width="9.77734375" bestFit="1" customWidth="1"/>
    <col min="37" max="37" width="30.33203125" bestFit="1" customWidth="1"/>
    <col min="38" max="38" width="69.44140625" bestFit="1" customWidth="1"/>
    <col min="39" max="39" width="16.88671875" bestFit="1" customWidth="1"/>
    <col min="40" max="42" width="31.44140625" bestFit="1" customWidth="1"/>
    <col min="43" max="43" width="80.88671875" bestFit="1" customWidth="1"/>
    <col min="44" max="44" width="19.77734375" bestFit="1" customWidth="1"/>
    <col min="45" max="45" width="13.6640625" style="39" bestFit="1" customWidth="1"/>
    <col min="46" max="46" width="15.5546875" bestFit="1" customWidth="1"/>
    <col min="47" max="47" width="80.88671875" bestFit="1" customWidth="1"/>
    <col min="48" max="48" width="21.44140625" bestFit="1" customWidth="1"/>
    <col min="49" max="49" width="15.44140625" bestFit="1" customWidth="1"/>
    <col min="50" max="51" width="80.88671875" bestFit="1" customWidth="1"/>
    <col min="52" max="52" width="12.44140625" bestFit="1" customWidth="1"/>
    <col min="53" max="53" width="11.109375" bestFit="1" customWidth="1"/>
    <col min="54" max="54" width="19.109375" bestFit="1" customWidth="1"/>
    <col min="55" max="55" width="21.21875" bestFit="1" customWidth="1"/>
    <col min="56" max="56" width="15.44140625" bestFit="1" customWidth="1"/>
    <col min="57" max="57" width="15.6640625" bestFit="1" customWidth="1"/>
    <col min="58" max="58" width="8.21875" bestFit="1" customWidth="1"/>
    <col min="59" max="59" width="40.5546875" bestFit="1" customWidth="1"/>
    <col min="60" max="60" width="17.88671875" bestFit="1" customWidth="1"/>
    <col min="61" max="61" width="19.33203125" bestFit="1" customWidth="1"/>
    <col min="62" max="62" width="12.33203125" bestFit="1" customWidth="1"/>
    <col min="63" max="63" width="20.88671875" bestFit="1" customWidth="1"/>
    <col min="64" max="64" width="6" bestFit="1" customWidth="1"/>
    <col min="65" max="66" width="12" bestFit="1" customWidth="1"/>
    <col min="67" max="67" width="10.77734375" bestFit="1" customWidth="1"/>
    <col min="68" max="68" width="9.88671875" bestFit="1" customWidth="1"/>
    <col min="69" max="69" width="23.77734375" bestFit="1" customWidth="1"/>
    <col min="70" max="70" width="14" bestFit="1" customWidth="1"/>
    <col min="71" max="71" width="36.109375" bestFit="1" customWidth="1"/>
    <col min="72" max="72" width="10.77734375" bestFit="1" customWidth="1"/>
    <col min="73" max="73" width="13.21875" bestFit="1" customWidth="1"/>
    <col min="74" max="74" width="10.33203125" customWidth="1"/>
  </cols>
  <sheetData>
    <row r="1" spans="1:45" x14ac:dyDescent="0.3">
      <c r="A1" t="s">
        <v>40</v>
      </c>
      <c r="B1" t="s">
        <v>61</v>
      </c>
      <c r="C1" t="s">
        <v>776</v>
      </c>
      <c r="D1" t="s">
        <v>777</v>
      </c>
      <c r="E1" t="s">
        <v>44</v>
      </c>
      <c r="F1" t="s">
        <v>0</v>
      </c>
      <c r="G1" s="39" t="s">
        <v>3</v>
      </c>
      <c r="H1" t="s">
        <v>1</v>
      </c>
      <c r="I1" t="s">
        <v>2</v>
      </c>
      <c r="J1" s="38" t="s">
        <v>778</v>
      </c>
      <c r="K1" t="s">
        <v>4</v>
      </c>
      <c r="L1" t="s">
        <v>5</v>
      </c>
      <c r="M1" t="s">
        <v>6</v>
      </c>
      <c r="N1" t="s">
        <v>74</v>
      </c>
      <c r="O1" t="s">
        <v>779</v>
      </c>
      <c r="P1" t="s">
        <v>18</v>
      </c>
      <c r="Q1" t="s">
        <v>8</v>
      </c>
      <c r="R1" t="s">
        <v>7</v>
      </c>
      <c r="S1" t="s">
        <v>75</v>
      </c>
      <c r="T1" t="s">
        <v>76</v>
      </c>
      <c r="U1" t="s">
        <v>9</v>
      </c>
      <c r="V1" t="s">
        <v>10</v>
      </c>
      <c r="W1" t="s">
        <v>16</v>
      </c>
      <c r="X1" t="s">
        <v>871</v>
      </c>
      <c r="Y1" t="s">
        <v>780</v>
      </c>
      <c r="AS1"/>
    </row>
    <row r="2" spans="1:45" x14ac:dyDescent="0.3">
      <c r="A2">
        <v>712</v>
      </c>
      <c r="B2" t="s">
        <v>301</v>
      </c>
      <c r="C2" t="s">
        <v>820</v>
      </c>
      <c r="D2" t="s">
        <v>1061</v>
      </c>
      <c r="E2" t="s">
        <v>1049</v>
      </c>
      <c r="F2" t="s">
        <v>17</v>
      </c>
      <c r="G2" s="39">
        <v>45875.916666666664</v>
      </c>
      <c r="H2">
        <v>8</v>
      </c>
      <c r="I2">
        <v>2025</v>
      </c>
      <c r="J2" s="38">
        <v>59.999999996507498</v>
      </c>
      <c r="K2" t="s">
        <v>700</v>
      </c>
      <c r="L2" t="s">
        <v>701</v>
      </c>
      <c r="M2" t="s">
        <v>702</v>
      </c>
      <c r="N2" t="s">
        <v>269</v>
      </c>
      <c r="O2" t="s">
        <v>269</v>
      </c>
      <c r="P2" t="s">
        <v>710</v>
      </c>
      <c r="Q2" t="s">
        <v>266</v>
      </c>
      <c r="R2" t="s">
        <v>267</v>
      </c>
      <c r="S2" t="s">
        <v>32</v>
      </c>
      <c r="T2" t="s">
        <v>738</v>
      </c>
      <c r="U2" t="b">
        <v>1</v>
      </c>
      <c r="V2" t="b">
        <v>0</v>
      </c>
      <c r="W2" t="b">
        <v>0</v>
      </c>
      <c r="X2">
        <v>2</v>
      </c>
      <c r="Y2" s="38"/>
      <c r="AS2"/>
    </row>
    <row r="3" spans="1:45" x14ac:dyDescent="0.3">
      <c r="A3">
        <v>711</v>
      </c>
      <c r="B3" t="s">
        <v>71</v>
      </c>
      <c r="C3" t="s">
        <v>815</v>
      </c>
      <c r="D3" t="s">
        <v>1062</v>
      </c>
      <c r="E3" t="s">
        <v>973</v>
      </c>
      <c r="F3" t="s">
        <v>17</v>
      </c>
      <c r="G3" s="39">
        <v>45879.916666666664</v>
      </c>
      <c r="H3">
        <v>8</v>
      </c>
      <c r="I3">
        <v>2025</v>
      </c>
      <c r="J3" s="38">
        <v>59.999999996507498</v>
      </c>
      <c r="K3" t="s">
        <v>974</v>
      </c>
      <c r="L3" t="s">
        <v>975</v>
      </c>
      <c r="M3" t="s">
        <v>14</v>
      </c>
      <c r="N3" t="s">
        <v>72</v>
      </c>
      <c r="O3" t="s">
        <v>818</v>
      </c>
      <c r="P3" t="s">
        <v>34</v>
      </c>
      <c r="Q3" t="s">
        <v>1067</v>
      </c>
      <c r="R3" t="s">
        <v>977</v>
      </c>
      <c r="S3" t="s">
        <v>33</v>
      </c>
      <c r="T3" t="s">
        <v>1065</v>
      </c>
      <c r="U3" t="b">
        <v>1</v>
      </c>
      <c r="V3" t="b">
        <v>1</v>
      </c>
      <c r="W3" t="b">
        <v>1</v>
      </c>
      <c r="X3">
        <v>1</v>
      </c>
      <c r="Y3" s="38"/>
      <c r="AS3"/>
    </row>
    <row r="4" spans="1:45" x14ac:dyDescent="0.3">
      <c r="A4">
        <v>710</v>
      </c>
      <c r="B4" t="s">
        <v>301</v>
      </c>
      <c r="C4" t="s">
        <v>820</v>
      </c>
      <c r="D4" t="s">
        <v>1061</v>
      </c>
      <c r="E4" t="s">
        <v>1066</v>
      </c>
      <c r="F4" t="s">
        <v>17</v>
      </c>
      <c r="G4" s="39">
        <v>45904.916666666664</v>
      </c>
      <c r="H4">
        <v>9</v>
      </c>
      <c r="I4">
        <v>2025</v>
      </c>
      <c r="J4" s="38">
        <v>29.999999993015098</v>
      </c>
      <c r="K4" t="s">
        <v>178</v>
      </c>
      <c r="L4" t="s">
        <v>80</v>
      </c>
      <c r="M4" t="s">
        <v>123</v>
      </c>
      <c r="N4" t="s">
        <v>269</v>
      </c>
      <c r="O4" t="s">
        <v>269</v>
      </c>
      <c r="P4" t="s">
        <v>710</v>
      </c>
      <c r="Q4" t="s">
        <v>266</v>
      </c>
      <c r="R4" t="s">
        <v>267</v>
      </c>
      <c r="S4" t="s">
        <v>32</v>
      </c>
      <c r="T4" t="s">
        <v>738</v>
      </c>
      <c r="U4" t="b">
        <v>1</v>
      </c>
      <c r="V4" t="b">
        <v>1</v>
      </c>
      <c r="W4" t="b">
        <v>1</v>
      </c>
      <c r="X4">
        <v>1</v>
      </c>
      <c r="Y4" s="38"/>
      <c r="AS4"/>
    </row>
    <row r="5" spans="1:45" x14ac:dyDescent="0.3">
      <c r="A5">
        <v>707</v>
      </c>
      <c r="B5" t="s">
        <v>71</v>
      </c>
      <c r="C5" t="s">
        <v>815</v>
      </c>
      <c r="D5" t="s">
        <v>1062</v>
      </c>
      <c r="E5" t="s">
        <v>1063</v>
      </c>
      <c r="F5" t="s">
        <v>17</v>
      </c>
      <c r="G5" s="39">
        <v>45875.916666666664</v>
      </c>
      <c r="H5">
        <v>8</v>
      </c>
      <c r="I5">
        <v>2025</v>
      </c>
      <c r="J5" s="38">
        <v>30.000000003492499</v>
      </c>
      <c r="K5" t="s">
        <v>974</v>
      </c>
      <c r="L5" t="s">
        <v>975</v>
      </c>
      <c r="M5" t="s">
        <v>123</v>
      </c>
      <c r="N5" t="s">
        <v>72</v>
      </c>
      <c r="O5" t="s">
        <v>818</v>
      </c>
      <c r="P5" t="s">
        <v>34</v>
      </c>
      <c r="Q5" t="s">
        <v>1064</v>
      </c>
      <c r="R5" t="s">
        <v>977</v>
      </c>
      <c r="S5" t="s">
        <v>33</v>
      </c>
      <c r="T5" t="s">
        <v>1065</v>
      </c>
      <c r="U5" t="b">
        <v>1</v>
      </c>
      <c r="V5" t="b">
        <v>1</v>
      </c>
      <c r="W5" t="b">
        <v>1</v>
      </c>
      <c r="X5">
        <v>1</v>
      </c>
      <c r="Y5" s="38"/>
      <c r="AS5"/>
    </row>
    <row r="6" spans="1:45" x14ac:dyDescent="0.3">
      <c r="A6">
        <v>704</v>
      </c>
      <c r="B6" t="s">
        <v>77</v>
      </c>
      <c r="C6" t="s">
        <v>810</v>
      </c>
      <c r="D6" t="s">
        <v>811</v>
      </c>
      <c r="E6" t="s">
        <v>972</v>
      </c>
      <c r="F6" t="s">
        <v>17</v>
      </c>
      <c r="G6" s="39">
        <v>45861.916666666664</v>
      </c>
      <c r="H6">
        <v>7</v>
      </c>
      <c r="I6">
        <v>2025</v>
      </c>
      <c r="J6" s="38">
        <v>29.999999993015098</v>
      </c>
      <c r="K6" t="s">
        <v>175</v>
      </c>
      <c r="L6" t="s">
        <v>176</v>
      </c>
      <c r="M6" t="s">
        <v>123</v>
      </c>
      <c r="N6" t="s">
        <v>72</v>
      </c>
      <c r="O6" t="s">
        <v>813</v>
      </c>
      <c r="P6" t="s">
        <v>228</v>
      </c>
      <c r="Q6" t="s">
        <v>222</v>
      </c>
      <c r="R6" t="s">
        <v>223</v>
      </c>
      <c r="S6" t="s">
        <v>33</v>
      </c>
      <c r="T6" t="s">
        <v>734</v>
      </c>
      <c r="U6" t="b">
        <v>1</v>
      </c>
      <c r="V6" t="b">
        <v>1</v>
      </c>
      <c r="W6" t="b">
        <v>1</v>
      </c>
      <c r="X6">
        <v>2</v>
      </c>
      <c r="Y6" s="38"/>
      <c r="AS6"/>
    </row>
    <row r="7" spans="1:45" x14ac:dyDescent="0.3">
      <c r="A7">
        <v>703</v>
      </c>
      <c r="B7" t="s">
        <v>71</v>
      </c>
      <c r="C7" t="s">
        <v>806</v>
      </c>
      <c r="D7" t="s">
        <v>969</v>
      </c>
      <c r="E7" t="s">
        <v>970</v>
      </c>
      <c r="F7" t="s">
        <v>17</v>
      </c>
      <c r="G7" s="39">
        <v>45843.916666666664</v>
      </c>
      <c r="H7">
        <v>7</v>
      </c>
      <c r="I7">
        <v>2025</v>
      </c>
      <c r="J7" s="38">
        <v>30.000000003492499</v>
      </c>
      <c r="K7" t="s">
        <v>98</v>
      </c>
      <c r="L7" t="s">
        <v>971</v>
      </c>
      <c r="M7" t="s">
        <v>689</v>
      </c>
      <c r="N7" t="s">
        <v>165</v>
      </c>
      <c r="O7" t="s">
        <v>851</v>
      </c>
      <c r="P7" t="s">
        <v>101</v>
      </c>
      <c r="Q7" t="s">
        <v>854</v>
      </c>
      <c r="R7" t="s">
        <v>855</v>
      </c>
      <c r="S7" t="s">
        <v>33</v>
      </c>
      <c r="T7" t="s">
        <v>734</v>
      </c>
      <c r="U7" t="b">
        <v>1</v>
      </c>
      <c r="V7" t="b">
        <v>1</v>
      </c>
      <c r="W7" t="b">
        <v>1</v>
      </c>
      <c r="X7">
        <v>6</v>
      </c>
      <c r="Y7" s="38"/>
      <c r="AS7"/>
    </row>
    <row r="8" spans="1:45" x14ac:dyDescent="0.3">
      <c r="A8">
        <v>702</v>
      </c>
      <c r="B8" t="s">
        <v>71</v>
      </c>
      <c r="C8" t="s">
        <v>806</v>
      </c>
      <c r="D8" t="s">
        <v>832</v>
      </c>
      <c r="E8" t="s">
        <v>968</v>
      </c>
      <c r="F8" t="s">
        <v>17</v>
      </c>
      <c r="G8" s="39">
        <v>45861.916666666664</v>
      </c>
      <c r="H8">
        <v>7</v>
      </c>
      <c r="I8">
        <v>2025</v>
      </c>
      <c r="J8" s="38">
        <v>30.000000003492499</v>
      </c>
      <c r="K8" t="s">
        <v>146</v>
      </c>
      <c r="L8" t="s">
        <v>575</v>
      </c>
      <c r="M8" t="s">
        <v>14</v>
      </c>
      <c r="N8" t="s">
        <v>72</v>
      </c>
      <c r="O8" t="s">
        <v>813</v>
      </c>
      <c r="P8" t="s">
        <v>34</v>
      </c>
      <c r="Q8" t="s">
        <v>577</v>
      </c>
      <c r="R8" t="s">
        <v>12</v>
      </c>
      <c r="S8" t="s">
        <v>33</v>
      </c>
      <c r="T8" t="s">
        <v>734</v>
      </c>
      <c r="U8" t="b">
        <v>1</v>
      </c>
      <c r="V8" t="b">
        <v>1</v>
      </c>
      <c r="W8" t="b">
        <v>1</v>
      </c>
      <c r="X8">
        <v>2</v>
      </c>
      <c r="Y8" s="38"/>
      <c r="AS8"/>
    </row>
    <row r="9" spans="1:45" x14ac:dyDescent="0.3">
      <c r="A9">
        <v>699</v>
      </c>
      <c r="B9" t="s">
        <v>71</v>
      </c>
      <c r="C9" t="s">
        <v>806</v>
      </c>
      <c r="D9" t="s">
        <v>807</v>
      </c>
      <c r="E9" t="s">
        <v>967</v>
      </c>
      <c r="F9" t="s">
        <v>17</v>
      </c>
      <c r="G9" s="39">
        <v>45861.916666666664</v>
      </c>
      <c r="H9">
        <v>7</v>
      </c>
      <c r="I9">
        <v>2025</v>
      </c>
      <c r="J9" s="38">
        <v>30.000000003492499</v>
      </c>
      <c r="K9" t="s">
        <v>175</v>
      </c>
      <c r="L9" t="s">
        <v>176</v>
      </c>
      <c r="M9" t="s">
        <v>14</v>
      </c>
      <c r="N9" t="s">
        <v>177</v>
      </c>
      <c r="O9" t="s">
        <v>809</v>
      </c>
      <c r="P9" t="s">
        <v>107</v>
      </c>
      <c r="Q9" t="s">
        <v>145</v>
      </c>
      <c r="R9" t="s">
        <v>12</v>
      </c>
      <c r="S9" t="s">
        <v>32</v>
      </c>
      <c r="T9" t="s">
        <v>738</v>
      </c>
      <c r="U9" t="b">
        <v>1</v>
      </c>
      <c r="V9" t="b">
        <v>1</v>
      </c>
      <c r="W9" t="b">
        <v>1</v>
      </c>
      <c r="X9">
        <v>1</v>
      </c>
      <c r="Y9" s="38"/>
      <c r="AS9"/>
    </row>
    <row r="10" spans="1:45" x14ac:dyDescent="0.3">
      <c r="A10">
        <v>698</v>
      </c>
      <c r="B10" t="s">
        <v>71</v>
      </c>
      <c r="C10" t="s">
        <v>806</v>
      </c>
      <c r="D10" t="s">
        <v>932</v>
      </c>
      <c r="E10" t="s">
        <v>966</v>
      </c>
      <c r="F10" t="s">
        <v>17</v>
      </c>
      <c r="G10" s="39">
        <v>45858.916666666664</v>
      </c>
      <c r="H10">
        <v>7</v>
      </c>
      <c r="I10">
        <v>2025</v>
      </c>
      <c r="J10" s="38">
        <v>29.999999993015098</v>
      </c>
      <c r="K10" t="s">
        <v>178</v>
      </c>
      <c r="L10" t="s">
        <v>80</v>
      </c>
      <c r="M10" t="s">
        <v>733</v>
      </c>
      <c r="N10" t="s">
        <v>159</v>
      </c>
      <c r="O10" t="s">
        <v>790</v>
      </c>
      <c r="P10" t="s">
        <v>934</v>
      </c>
      <c r="Q10" t="s">
        <v>481</v>
      </c>
      <c r="R10" t="s">
        <v>31</v>
      </c>
      <c r="S10" t="s">
        <v>32</v>
      </c>
      <c r="T10" t="s">
        <v>738</v>
      </c>
      <c r="U10" t="b">
        <v>1</v>
      </c>
      <c r="V10" t="b">
        <v>1</v>
      </c>
      <c r="W10" t="b">
        <v>1</v>
      </c>
      <c r="X10">
        <v>2</v>
      </c>
      <c r="Y10" s="38"/>
      <c r="AS10"/>
    </row>
    <row r="11" spans="1:45" x14ac:dyDescent="0.3">
      <c r="A11">
        <v>697</v>
      </c>
      <c r="B11" t="s">
        <v>77</v>
      </c>
      <c r="C11" t="s">
        <v>810</v>
      </c>
      <c r="D11" t="s">
        <v>811</v>
      </c>
      <c r="E11" t="s">
        <v>965</v>
      </c>
      <c r="F11" t="s">
        <v>17</v>
      </c>
      <c r="G11" s="39">
        <v>45858.916666666664</v>
      </c>
      <c r="H11">
        <v>7</v>
      </c>
      <c r="I11">
        <v>2025</v>
      </c>
      <c r="J11" s="38">
        <v>29.999999993015098</v>
      </c>
      <c r="K11" t="s">
        <v>178</v>
      </c>
      <c r="L11" t="s">
        <v>80</v>
      </c>
      <c r="M11" t="s">
        <v>102</v>
      </c>
      <c r="N11" t="s">
        <v>72</v>
      </c>
      <c r="O11" t="s">
        <v>813</v>
      </c>
      <c r="P11" t="s">
        <v>228</v>
      </c>
      <c r="Q11" t="s">
        <v>749</v>
      </c>
      <c r="R11" t="s">
        <v>31</v>
      </c>
      <c r="S11" t="s">
        <v>32</v>
      </c>
      <c r="T11" t="s">
        <v>738</v>
      </c>
      <c r="U11" t="b">
        <v>1</v>
      </c>
      <c r="V11" t="b">
        <v>1</v>
      </c>
      <c r="W11" t="b">
        <v>1</v>
      </c>
      <c r="X11">
        <v>2</v>
      </c>
      <c r="Y11" s="38"/>
      <c r="AS11"/>
    </row>
    <row r="12" spans="1:45" x14ac:dyDescent="0.3">
      <c r="A12">
        <v>696</v>
      </c>
      <c r="B12" t="s">
        <v>158</v>
      </c>
      <c r="C12" t="s">
        <v>962</v>
      </c>
      <c r="D12" t="s">
        <v>963</v>
      </c>
      <c r="E12" t="s">
        <v>964</v>
      </c>
      <c r="F12" t="s">
        <v>17</v>
      </c>
      <c r="G12" s="39">
        <v>45860.916666666664</v>
      </c>
      <c r="H12">
        <v>7</v>
      </c>
      <c r="I12">
        <v>2025</v>
      </c>
      <c r="J12" s="38">
        <v>30.000000003492499</v>
      </c>
      <c r="K12" t="s">
        <v>146</v>
      </c>
      <c r="L12" t="s">
        <v>575</v>
      </c>
      <c r="M12" t="s">
        <v>14</v>
      </c>
      <c r="N12" t="s">
        <v>72</v>
      </c>
      <c r="O12" t="s">
        <v>813</v>
      </c>
      <c r="P12" t="s">
        <v>157</v>
      </c>
      <c r="Q12" t="s">
        <v>577</v>
      </c>
      <c r="R12" t="s">
        <v>12</v>
      </c>
      <c r="S12" t="s">
        <v>32</v>
      </c>
      <c r="T12" t="s">
        <v>727</v>
      </c>
      <c r="U12" t="b">
        <v>1</v>
      </c>
      <c r="V12" t="b">
        <v>1</v>
      </c>
      <c r="W12" t="b">
        <v>1</v>
      </c>
      <c r="X12">
        <v>1</v>
      </c>
      <c r="Y12" s="38"/>
      <c r="AS12"/>
    </row>
    <row r="13" spans="1:45" x14ac:dyDescent="0.3">
      <c r="A13">
        <v>689</v>
      </c>
      <c r="B13" t="s">
        <v>171</v>
      </c>
      <c r="C13" t="s">
        <v>959</v>
      </c>
      <c r="D13" t="s">
        <v>960</v>
      </c>
      <c r="E13" t="s">
        <v>961</v>
      </c>
      <c r="F13" t="s">
        <v>17</v>
      </c>
      <c r="G13" s="39">
        <v>45855.916666666664</v>
      </c>
      <c r="H13">
        <v>7</v>
      </c>
      <c r="I13">
        <v>2025</v>
      </c>
      <c r="J13" s="38">
        <v>60.000000006984898</v>
      </c>
      <c r="K13" t="s">
        <v>173</v>
      </c>
      <c r="L13" t="s">
        <v>174</v>
      </c>
      <c r="M13" t="s">
        <v>14</v>
      </c>
      <c r="N13" t="s">
        <v>159</v>
      </c>
      <c r="O13" t="s">
        <v>790</v>
      </c>
      <c r="P13" t="s">
        <v>172</v>
      </c>
      <c r="Q13" t="s">
        <v>135</v>
      </c>
      <c r="R13" t="s">
        <v>31</v>
      </c>
      <c r="S13" t="s">
        <v>715</v>
      </c>
      <c r="T13" t="s">
        <v>729</v>
      </c>
      <c r="U13" t="b">
        <v>1</v>
      </c>
      <c r="V13" t="b">
        <v>1</v>
      </c>
      <c r="W13" t="b">
        <v>1</v>
      </c>
      <c r="X13">
        <v>1</v>
      </c>
      <c r="Y13" s="38"/>
      <c r="AS13"/>
    </row>
    <row r="14" spans="1:45" x14ac:dyDescent="0.3">
      <c r="A14">
        <v>688</v>
      </c>
      <c r="B14" t="s">
        <v>77</v>
      </c>
      <c r="C14" t="s">
        <v>810</v>
      </c>
      <c r="D14" t="s">
        <v>936</v>
      </c>
      <c r="E14" t="s">
        <v>958</v>
      </c>
      <c r="F14" t="s">
        <v>17</v>
      </c>
      <c r="G14" s="39">
        <v>45855.916666666664</v>
      </c>
      <c r="H14">
        <v>7</v>
      </c>
      <c r="I14">
        <v>2025</v>
      </c>
      <c r="J14" s="38">
        <v>59.999999996507498</v>
      </c>
      <c r="K14" t="s">
        <v>173</v>
      </c>
      <c r="L14" t="s">
        <v>174</v>
      </c>
      <c r="M14" t="s">
        <v>14</v>
      </c>
      <c r="N14" t="s">
        <v>159</v>
      </c>
      <c r="O14" t="s">
        <v>790</v>
      </c>
      <c r="P14" t="s">
        <v>153</v>
      </c>
      <c r="Q14" t="s">
        <v>135</v>
      </c>
      <c r="R14" t="s">
        <v>31</v>
      </c>
      <c r="S14" t="s">
        <v>79</v>
      </c>
      <c r="T14" t="s">
        <v>956</v>
      </c>
      <c r="U14" t="b">
        <v>0</v>
      </c>
      <c r="V14" t="b">
        <v>1</v>
      </c>
      <c r="W14" t="b">
        <v>1</v>
      </c>
      <c r="X14">
        <v>1</v>
      </c>
      <c r="Y14" s="38"/>
      <c r="AS14"/>
    </row>
    <row r="15" spans="1:45" x14ac:dyDescent="0.3">
      <c r="A15">
        <v>687</v>
      </c>
      <c r="B15" t="s">
        <v>71</v>
      </c>
      <c r="C15" t="s">
        <v>806</v>
      </c>
      <c r="D15" t="s">
        <v>849</v>
      </c>
      <c r="E15" t="s">
        <v>957</v>
      </c>
      <c r="F15" t="s">
        <v>17</v>
      </c>
      <c r="G15" s="39">
        <v>45854.916666666664</v>
      </c>
      <c r="H15">
        <v>7</v>
      </c>
      <c r="I15">
        <v>2025</v>
      </c>
      <c r="J15" s="38">
        <v>29.999999993015098</v>
      </c>
      <c r="K15" t="s">
        <v>125</v>
      </c>
      <c r="L15" t="s">
        <v>126</v>
      </c>
      <c r="M15" t="s">
        <v>123</v>
      </c>
      <c r="N15" t="s">
        <v>165</v>
      </c>
      <c r="O15" t="s">
        <v>851</v>
      </c>
      <c r="P15" t="s">
        <v>101</v>
      </c>
      <c r="Q15" t="s">
        <v>139</v>
      </c>
      <c r="R15" t="s">
        <v>117</v>
      </c>
      <c r="S15" t="s">
        <v>32</v>
      </c>
      <c r="T15" t="s">
        <v>738</v>
      </c>
      <c r="U15" t="b">
        <v>1</v>
      </c>
      <c r="V15" t="b">
        <v>1</v>
      </c>
      <c r="W15" t="b">
        <v>1</v>
      </c>
      <c r="X15">
        <v>1</v>
      </c>
      <c r="Y15" s="38"/>
      <c r="AS15"/>
    </row>
    <row r="16" spans="1:45" x14ac:dyDescent="0.3">
      <c r="A16">
        <v>686</v>
      </c>
      <c r="B16" t="s">
        <v>156</v>
      </c>
      <c r="C16" t="s">
        <v>787</v>
      </c>
      <c r="D16" t="s">
        <v>788</v>
      </c>
      <c r="E16" t="s">
        <v>955</v>
      </c>
      <c r="F16" t="s">
        <v>17</v>
      </c>
      <c r="G16" s="39">
        <v>45854.916666666664</v>
      </c>
      <c r="H16">
        <v>7</v>
      </c>
      <c r="I16">
        <v>2025</v>
      </c>
      <c r="J16" s="38">
        <v>30.000000003492499</v>
      </c>
      <c r="K16" t="s">
        <v>173</v>
      </c>
      <c r="L16" t="s">
        <v>174</v>
      </c>
      <c r="M16" t="s">
        <v>14</v>
      </c>
      <c r="N16" t="s">
        <v>159</v>
      </c>
      <c r="O16" t="s">
        <v>790</v>
      </c>
      <c r="P16" t="s">
        <v>155</v>
      </c>
      <c r="Q16" t="s">
        <v>135</v>
      </c>
      <c r="R16" t="s">
        <v>31</v>
      </c>
      <c r="S16" t="s">
        <v>79</v>
      </c>
      <c r="T16" t="s">
        <v>956</v>
      </c>
      <c r="U16" t="b">
        <v>0</v>
      </c>
      <c r="V16" t="b">
        <v>1</v>
      </c>
      <c r="W16" t="b">
        <v>1</v>
      </c>
      <c r="X16">
        <v>1</v>
      </c>
      <c r="Y16" s="38"/>
      <c r="AS16"/>
    </row>
    <row r="17" spans="1:45" x14ac:dyDescent="0.3">
      <c r="A17">
        <v>685</v>
      </c>
      <c r="B17" t="s">
        <v>187</v>
      </c>
      <c r="C17" t="s">
        <v>187</v>
      </c>
      <c r="D17" t="s">
        <v>936</v>
      </c>
      <c r="E17" t="s">
        <v>953</v>
      </c>
      <c r="F17" t="s">
        <v>17</v>
      </c>
      <c r="G17" s="39">
        <v>45853.916666666664</v>
      </c>
      <c r="H17">
        <v>7</v>
      </c>
      <c r="I17">
        <v>2025</v>
      </c>
      <c r="J17" s="38">
        <v>60.000000006984898</v>
      </c>
      <c r="K17" t="s">
        <v>175</v>
      </c>
      <c r="L17" t="s">
        <v>176</v>
      </c>
      <c r="M17" t="s">
        <v>14</v>
      </c>
      <c r="N17" t="s">
        <v>177</v>
      </c>
      <c r="O17" t="s">
        <v>809</v>
      </c>
      <c r="P17" t="s">
        <v>186</v>
      </c>
      <c r="Q17" t="s">
        <v>145</v>
      </c>
      <c r="R17" t="s">
        <v>12</v>
      </c>
      <c r="S17" t="s">
        <v>32</v>
      </c>
      <c r="T17" t="s">
        <v>738</v>
      </c>
      <c r="U17" t="b">
        <v>1</v>
      </c>
      <c r="V17" t="b">
        <v>1</v>
      </c>
      <c r="W17" t="b">
        <v>1</v>
      </c>
      <c r="X17">
        <v>1</v>
      </c>
      <c r="Y17" s="38"/>
      <c r="AS17"/>
    </row>
    <row r="18" spans="1:45" x14ac:dyDescent="0.3">
      <c r="A18">
        <v>684</v>
      </c>
      <c r="B18" t="s">
        <v>71</v>
      </c>
      <c r="C18" t="s">
        <v>806</v>
      </c>
      <c r="D18" t="s">
        <v>932</v>
      </c>
      <c r="E18" t="s">
        <v>952</v>
      </c>
      <c r="F18" t="s">
        <v>17</v>
      </c>
      <c r="G18" s="39">
        <v>45853.916666666664</v>
      </c>
      <c r="H18">
        <v>7</v>
      </c>
      <c r="I18">
        <v>2025</v>
      </c>
      <c r="J18" s="38">
        <v>45</v>
      </c>
      <c r="K18" t="s">
        <v>173</v>
      </c>
      <c r="L18" t="s">
        <v>174</v>
      </c>
      <c r="M18" t="s">
        <v>14</v>
      </c>
      <c r="N18" t="s">
        <v>159</v>
      </c>
      <c r="O18" t="s">
        <v>790</v>
      </c>
      <c r="P18" t="s">
        <v>934</v>
      </c>
      <c r="Q18" t="s">
        <v>135</v>
      </c>
      <c r="R18" t="s">
        <v>31</v>
      </c>
      <c r="S18" t="s">
        <v>32</v>
      </c>
      <c r="T18" t="s">
        <v>738</v>
      </c>
      <c r="U18" t="b">
        <v>1</v>
      </c>
      <c r="V18" t="b">
        <v>1</v>
      </c>
      <c r="W18" t="b">
        <v>0</v>
      </c>
      <c r="X18">
        <v>2</v>
      </c>
      <c r="Y18" s="38"/>
      <c r="AS18"/>
    </row>
    <row r="19" spans="1:45" x14ac:dyDescent="0.3">
      <c r="A19">
        <v>681</v>
      </c>
      <c r="B19" t="s">
        <v>268</v>
      </c>
      <c r="C19" t="s">
        <v>791</v>
      </c>
      <c r="D19" t="s">
        <v>792</v>
      </c>
      <c r="E19" t="s">
        <v>950</v>
      </c>
      <c r="F19" t="s">
        <v>17</v>
      </c>
      <c r="G19" s="39">
        <v>45848.916666666664</v>
      </c>
      <c r="H19">
        <v>7</v>
      </c>
      <c r="I19">
        <v>2025</v>
      </c>
      <c r="J19" s="38">
        <v>239.999999996508</v>
      </c>
      <c r="K19" t="s">
        <v>700</v>
      </c>
      <c r="L19" t="s">
        <v>701</v>
      </c>
      <c r="M19" t="s">
        <v>702</v>
      </c>
      <c r="N19" t="s">
        <v>269</v>
      </c>
      <c r="O19" t="s">
        <v>269</v>
      </c>
      <c r="P19" t="s">
        <v>707</v>
      </c>
      <c r="Q19" t="s">
        <v>266</v>
      </c>
      <c r="R19" t="s">
        <v>267</v>
      </c>
      <c r="S19" t="s">
        <v>79</v>
      </c>
      <c r="T19" t="s">
        <v>951</v>
      </c>
      <c r="U19" t="b">
        <v>0</v>
      </c>
      <c r="V19" t="b">
        <v>1</v>
      </c>
      <c r="W19" t="b">
        <v>1</v>
      </c>
      <c r="X19">
        <v>2</v>
      </c>
      <c r="Y19" s="38"/>
      <c r="AS19"/>
    </row>
    <row r="20" spans="1:45" x14ac:dyDescent="0.3">
      <c r="A20">
        <v>679</v>
      </c>
      <c r="B20" t="s">
        <v>301</v>
      </c>
      <c r="C20" t="s">
        <v>820</v>
      </c>
      <c r="D20" t="s">
        <v>821</v>
      </c>
      <c r="E20" t="s">
        <v>949</v>
      </c>
      <c r="F20" t="s">
        <v>17</v>
      </c>
      <c r="G20" s="39">
        <v>45848.916666666664</v>
      </c>
      <c r="H20">
        <v>7</v>
      </c>
      <c r="I20">
        <v>2025</v>
      </c>
      <c r="J20" s="38">
        <v>60.000000006984898</v>
      </c>
      <c r="K20" t="s">
        <v>700</v>
      </c>
      <c r="L20" t="s">
        <v>701</v>
      </c>
      <c r="M20" t="s">
        <v>702</v>
      </c>
      <c r="N20" t="s">
        <v>269</v>
      </c>
      <c r="O20" t="s">
        <v>269</v>
      </c>
      <c r="P20" t="s">
        <v>710</v>
      </c>
      <c r="Q20" t="s">
        <v>266</v>
      </c>
      <c r="R20" t="s">
        <v>267</v>
      </c>
      <c r="S20" t="s">
        <v>33</v>
      </c>
      <c r="T20" t="s">
        <v>734</v>
      </c>
      <c r="U20" t="b">
        <v>1</v>
      </c>
      <c r="V20" t="b">
        <v>1</v>
      </c>
      <c r="W20" t="b">
        <v>1</v>
      </c>
      <c r="X20">
        <v>1</v>
      </c>
      <c r="Y20" s="38"/>
      <c r="AS20"/>
    </row>
    <row r="21" spans="1:45" x14ac:dyDescent="0.3">
      <c r="A21">
        <v>678</v>
      </c>
      <c r="B21" t="s">
        <v>298</v>
      </c>
      <c r="C21" t="s">
        <v>823</v>
      </c>
      <c r="D21" t="s">
        <v>792</v>
      </c>
      <c r="E21" t="s">
        <v>948</v>
      </c>
      <c r="F21" t="s">
        <v>17</v>
      </c>
      <c r="G21" s="39">
        <v>45848.916666666664</v>
      </c>
      <c r="H21">
        <v>7</v>
      </c>
      <c r="I21">
        <v>2025</v>
      </c>
      <c r="J21" s="38">
        <v>120.000000003492</v>
      </c>
      <c r="K21" t="s">
        <v>700</v>
      </c>
      <c r="L21" t="s">
        <v>701</v>
      </c>
      <c r="M21" t="s">
        <v>702</v>
      </c>
      <c r="N21" t="s">
        <v>269</v>
      </c>
      <c r="O21" t="s">
        <v>269</v>
      </c>
      <c r="P21" t="s">
        <v>722</v>
      </c>
      <c r="Q21" t="s">
        <v>266</v>
      </c>
      <c r="R21" t="s">
        <v>267</v>
      </c>
      <c r="S21" t="s">
        <v>33</v>
      </c>
      <c r="T21" t="s">
        <v>758</v>
      </c>
      <c r="U21" t="b">
        <v>1</v>
      </c>
      <c r="V21" t="b">
        <v>1</v>
      </c>
      <c r="W21" t="b">
        <v>1</v>
      </c>
      <c r="X21">
        <v>1</v>
      </c>
      <c r="Y21" s="38"/>
      <c r="AS21"/>
    </row>
    <row r="22" spans="1:45" x14ac:dyDescent="0.3">
      <c r="A22">
        <v>677</v>
      </c>
      <c r="B22" t="s">
        <v>71</v>
      </c>
      <c r="C22" t="s">
        <v>806</v>
      </c>
      <c r="D22" t="s">
        <v>849</v>
      </c>
      <c r="E22" t="s">
        <v>947</v>
      </c>
      <c r="F22" t="s">
        <v>17</v>
      </c>
      <c r="G22" s="39">
        <v>45849.916666666664</v>
      </c>
      <c r="H22">
        <v>7</v>
      </c>
      <c r="I22">
        <v>2025</v>
      </c>
      <c r="J22" s="38">
        <v>59.999999996507498</v>
      </c>
      <c r="K22" t="s">
        <v>125</v>
      </c>
      <c r="L22" t="s">
        <v>126</v>
      </c>
      <c r="M22" t="s">
        <v>13</v>
      </c>
      <c r="N22" t="s">
        <v>165</v>
      </c>
      <c r="O22" t="s">
        <v>851</v>
      </c>
      <c r="P22" t="s">
        <v>101</v>
      </c>
      <c r="Q22" t="s">
        <v>164</v>
      </c>
      <c r="R22" t="s">
        <v>132</v>
      </c>
      <c r="S22" t="s">
        <v>33</v>
      </c>
      <c r="T22" t="s">
        <v>734</v>
      </c>
      <c r="U22" t="b">
        <v>1</v>
      </c>
      <c r="V22" t="b">
        <v>1</v>
      </c>
      <c r="W22" t="b">
        <v>1</v>
      </c>
      <c r="X22">
        <v>1</v>
      </c>
      <c r="Y22" s="38"/>
      <c r="AS22"/>
    </row>
    <row r="23" spans="1:45" x14ac:dyDescent="0.3">
      <c r="A23">
        <v>674</v>
      </c>
      <c r="B23" t="s">
        <v>71</v>
      </c>
      <c r="C23" t="s">
        <v>806</v>
      </c>
      <c r="D23" t="s">
        <v>932</v>
      </c>
      <c r="E23" t="s">
        <v>946</v>
      </c>
      <c r="F23" t="s">
        <v>17</v>
      </c>
      <c r="G23" s="39">
        <v>45846.916666666664</v>
      </c>
      <c r="H23">
        <v>7</v>
      </c>
      <c r="I23">
        <v>2025</v>
      </c>
      <c r="J23" s="38">
        <v>45</v>
      </c>
      <c r="K23" t="s">
        <v>151</v>
      </c>
      <c r="L23" t="s">
        <v>288</v>
      </c>
      <c r="M23" t="s">
        <v>85</v>
      </c>
      <c r="N23" t="s">
        <v>159</v>
      </c>
      <c r="O23" t="s">
        <v>790</v>
      </c>
      <c r="P23" t="s">
        <v>934</v>
      </c>
      <c r="Q23" t="s">
        <v>310</v>
      </c>
      <c r="R23" t="s">
        <v>87</v>
      </c>
      <c r="S23" t="s">
        <v>32</v>
      </c>
      <c r="T23" t="s">
        <v>738</v>
      </c>
      <c r="U23" t="b">
        <v>1</v>
      </c>
      <c r="V23" t="b">
        <v>1</v>
      </c>
      <c r="W23" t="b">
        <v>1</v>
      </c>
      <c r="X23">
        <v>1</v>
      </c>
      <c r="Y23" s="38"/>
      <c r="AS23"/>
    </row>
    <row r="24" spans="1:45" x14ac:dyDescent="0.3">
      <c r="A24">
        <v>673</v>
      </c>
      <c r="B24" t="s">
        <v>71</v>
      </c>
      <c r="C24" t="s">
        <v>806</v>
      </c>
      <c r="D24" t="s">
        <v>840</v>
      </c>
      <c r="E24" t="s">
        <v>945</v>
      </c>
      <c r="F24" t="s">
        <v>17</v>
      </c>
      <c r="G24" s="39">
        <v>45846.916666666664</v>
      </c>
      <c r="H24">
        <v>7</v>
      </c>
      <c r="I24">
        <v>2025</v>
      </c>
      <c r="J24" s="38">
        <v>45</v>
      </c>
      <c r="K24" t="s">
        <v>148</v>
      </c>
      <c r="L24" t="s">
        <v>238</v>
      </c>
      <c r="M24" t="s">
        <v>154</v>
      </c>
      <c r="N24" t="s">
        <v>159</v>
      </c>
      <c r="O24" t="s">
        <v>790</v>
      </c>
      <c r="P24" t="s">
        <v>83</v>
      </c>
      <c r="Q24" t="s">
        <v>695</v>
      </c>
      <c r="R24" t="s">
        <v>97</v>
      </c>
      <c r="S24" t="s">
        <v>32</v>
      </c>
      <c r="T24" t="s">
        <v>738</v>
      </c>
      <c r="U24" t="b">
        <v>1</v>
      </c>
      <c r="V24" t="b">
        <v>1</v>
      </c>
      <c r="W24" t="b">
        <v>1</v>
      </c>
      <c r="X24">
        <v>2</v>
      </c>
      <c r="Y24" s="38"/>
      <c r="AS24"/>
    </row>
    <row r="25" spans="1:45" x14ac:dyDescent="0.3">
      <c r="A25">
        <v>672</v>
      </c>
      <c r="B25" t="s">
        <v>71</v>
      </c>
      <c r="C25" t="s">
        <v>806</v>
      </c>
      <c r="D25" t="s">
        <v>840</v>
      </c>
      <c r="E25" t="s">
        <v>944</v>
      </c>
      <c r="F25" t="s">
        <v>17</v>
      </c>
      <c r="G25" s="39">
        <v>45846.916666666664</v>
      </c>
      <c r="H25">
        <v>7</v>
      </c>
      <c r="I25">
        <v>2025</v>
      </c>
      <c r="J25" s="38">
        <v>45</v>
      </c>
      <c r="K25" t="s">
        <v>84</v>
      </c>
      <c r="L25" t="s">
        <v>261</v>
      </c>
      <c r="M25" t="s">
        <v>282</v>
      </c>
      <c r="N25" t="s">
        <v>159</v>
      </c>
      <c r="O25" t="s">
        <v>790</v>
      </c>
      <c r="P25" t="s">
        <v>83</v>
      </c>
      <c r="Q25" t="s">
        <v>692</v>
      </c>
      <c r="R25" t="s">
        <v>284</v>
      </c>
      <c r="S25" t="s">
        <v>32</v>
      </c>
      <c r="T25" t="s">
        <v>738</v>
      </c>
      <c r="U25" t="b">
        <v>1</v>
      </c>
      <c r="V25" t="b">
        <v>1</v>
      </c>
      <c r="W25" t="b">
        <v>1</v>
      </c>
      <c r="X25">
        <v>1</v>
      </c>
      <c r="Y25" s="38"/>
      <c r="AS25"/>
    </row>
    <row r="26" spans="1:45" x14ac:dyDescent="0.3">
      <c r="A26">
        <v>664</v>
      </c>
      <c r="B26" t="s">
        <v>71</v>
      </c>
      <c r="C26" t="s">
        <v>806</v>
      </c>
      <c r="D26" t="s">
        <v>840</v>
      </c>
      <c r="E26" t="s">
        <v>943</v>
      </c>
      <c r="F26" t="s">
        <v>17</v>
      </c>
      <c r="G26" s="39">
        <v>45840.916666666664</v>
      </c>
      <c r="H26">
        <v>7</v>
      </c>
      <c r="I26">
        <v>2025</v>
      </c>
      <c r="J26" s="38">
        <v>45</v>
      </c>
      <c r="K26" t="s">
        <v>84</v>
      </c>
      <c r="L26" t="s">
        <v>261</v>
      </c>
      <c r="M26" t="s">
        <v>85</v>
      </c>
      <c r="N26" t="s">
        <v>159</v>
      </c>
      <c r="O26" t="s">
        <v>790</v>
      </c>
      <c r="P26" t="s">
        <v>83</v>
      </c>
      <c r="Q26" t="s">
        <v>310</v>
      </c>
      <c r="R26" t="s">
        <v>87</v>
      </c>
      <c r="S26" t="s">
        <v>32</v>
      </c>
      <c r="T26" t="s">
        <v>738</v>
      </c>
      <c r="U26" t="b">
        <v>1</v>
      </c>
      <c r="V26" t="b">
        <v>1</v>
      </c>
      <c r="W26" t="b">
        <v>1</v>
      </c>
      <c r="X26">
        <v>1</v>
      </c>
      <c r="Y26" s="38"/>
      <c r="AS26"/>
    </row>
    <row r="27" spans="1:45" x14ac:dyDescent="0.3">
      <c r="A27">
        <v>663</v>
      </c>
      <c r="B27" t="s">
        <v>268</v>
      </c>
      <c r="C27" t="s">
        <v>791</v>
      </c>
      <c r="D27" t="s">
        <v>792</v>
      </c>
      <c r="E27" t="s">
        <v>942</v>
      </c>
      <c r="F27" t="s">
        <v>17</v>
      </c>
      <c r="G27" s="39">
        <v>45841.916666666664</v>
      </c>
      <c r="H27">
        <v>7</v>
      </c>
      <c r="I27">
        <v>2025</v>
      </c>
      <c r="J27" s="38">
        <v>90</v>
      </c>
      <c r="K27" t="s">
        <v>178</v>
      </c>
      <c r="L27" t="s">
        <v>80</v>
      </c>
      <c r="M27" t="s">
        <v>123</v>
      </c>
      <c r="N27" t="s">
        <v>269</v>
      </c>
      <c r="O27" t="s">
        <v>269</v>
      </c>
      <c r="P27" t="s">
        <v>707</v>
      </c>
      <c r="Q27" t="s">
        <v>266</v>
      </c>
      <c r="R27" t="s">
        <v>267</v>
      </c>
      <c r="S27" t="s">
        <v>242</v>
      </c>
      <c r="U27" t="b">
        <v>0</v>
      </c>
      <c r="V27" t="b">
        <v>1</v>
      </c>
      <c r="W27" t="b">
        <v>1</v>
      </c>
      <c r="X27">
        <v>1</v>
      </c>
      <c r="Y27" s="38"/>
      <c r="AS27"/>
    </row>
    <row r="28" spans="1:45" x14ac:dyDescent="0.3">
      <c r="A28">
        <v>662</v>
      </c>
      <c r="B28" t="s">
        <v>71</v>
      </c>
      <c r="C28" t="s">
        <v>815</v>
      </c>
      <c r="D28" t="s">
        <v>907</v>
      </c>
      <c r="E28" t="s">
        <v>941</v>
      </c>
      <c r="F28" t="s">
        <v>17</v>
      </c>
      <c r="G28" s="39">
        <v>45840.916666666664</v>
      </c>
      <c r="H28">
        <v>7</v>
      </c>
      <c r="I28">
        <v>2025</v>
      </c>
      <c r="J28" s="38">
        <v>30.000000003492499</v>
      </c>
      <c r="K28" t="s">
        <v>82</v>
      </c>
      <c r="L28" t="s">
        <v>281</v>
      </c>
      <c r="M28" t="s">
        <v>93</v>
      </c>
      <c r="N28" t="s">
        <v>159</v>
      </c>
      <c r="O28" t="s">
        <v>909</v>
      </c>
      <c r="P28" t="s">
        <v>83</v>
      </c>
      <c r="Q28" t="s">
        <v>694</v>
      </c>
      <c r="R28" t="s">
        <v>87</v>
      </c>
      <c r="S28" t="s">
        <v>32</v>
      </c>
      <c r="T28" t="s">
        <v>819</v>
      </c>
      <c r="U28" t="b">
        <v>1</v>
      </c>
      <c r="V28" t="b">
        <v>1</v>
      </c>
      <c r="W28" t="b">
        <v>1</v>
      </c>
      <c r="X28">
        <v>3</v>
      </c>
      <c r="Y28" s="38"/>
      <c r="AS28"/>
    </row>
    <row r="29" spans="1:45" x14ac:dyDescent="0.3">
      <c r="A29">
        <v>661</v>
      </c>
      <c r="B29" t="s">
        <v>156</v>
      </c>
      <c r="C29" t="s">
        <v>938</v>
      </c>
      <c r="D29" t="s">
        <v>939</v>
      </c>
      <c r="E29" t="s">
        <v>940</v>
      </c>
      <c r="F29" t="s">
        <v>17</v>
      </c>
      <c r="G29" s="39">
        <v>45840.916666666664</v>
      </c>
      <c r="H29">
        <v>7</v>
      </c>
      <c r="I29">
        <v>2025</v>
      </c>
      <c r="J29" s="38">
        <v>30.000000003492499</v>
      </c>
      <c r="K29" t="s">
        <v>82</v>
      </c>
      <c r="L29" t="s">
        <v>281</v>
      </c>
      <c r="M29" t="s">
        <v>282</v>
      </c>
      <c r="N29" t="s">
        <v>159</v>
      </c>
      <c r="O29" t="s">
        <v>909</v>
      </c>
      <c r="P29" t="s">
        <v>155</v>
      </c>
      <c r="Q29" t="s">
        <v>692</v>
      </c>
      <c r="R29" t="s">
        <v>284</v>
      </c>
      <c r="S29" t="s">
        <v>32</v>
      </c>
      <c r="T29" t="s">
        <v>819</v>
      </c>
      <c r="U29" t="b">
        <v>1</v>
      </c>
      <c r="V29" t="b">
        <v>1</v>
      </c>
      <c r="W29" t="b">
        <v>1</v>
      </c>
      <c r="X29">
        <v>1</v>
      </c>
      <c r="Y29" s="38"/>
      <c r="AS29"/>
    </row>
    <row r="30" spans="1:45" x14ac:dyDescent="0.3">
      <c r="A30">
        <v>660</v>
      </c>
      <c r="B30" t="s">
        <v>77</v>
      </c>
      <c r="C30" t="s">
        <v>810</v>
      </c>
      <c r="D30" t="s">
        <v>936</v>
      </c>
      <c r="E30" t="s">
        <v>937</v>
      </c>
      <c r="F30" t="s">
        <v>17</v>
      </c>
      <c r="G30" s="39">
        <v>45839.916666666664</v>
      </c>
      <c r="H30">
        <v>7</v>
      </c>
      <c r="I30">
        <v>2025</v>
      </c>
      <c r="J30" s="38">
        <v>59.999999996507498</v>
      </c>
      <c r="K30" t="s">
        <v>178</v>
      </c>
      <c r="L30" t="s">
        <v>80</v>
      </c>
      <c r="M30" t="s">
        <v>733</v>
      </c>
      <c r="N30" t="s">
        <v>159</v>
      </c>
      <c r="O30" t="s">
        <v>790</v>
      </c>
      <c r="P30" t="s">
        <v>153</v>
      </c>
      <c r="Q30" t="s">
        <v>481</v>
      </c>
      <c r="R30" t="s">
        <v>31</v>
      </c>
      <c r="S30" t="s">
        <v>32</v>
      </c>
      <c r="T30" t="s">
        <v>738</v>
      </c>
      <c r="U30" t="b">
        <v>1</v>
      </c>
      <c r="V30" t="b">
        <v>1</v>
      </c>
      <c r="W30" t="b">
        <v>1</v>
      </c>
      <c r="X30">
        <v>1</v>
      </c>
      <c r="Y30" s="38"/>
      <c r="AS30"/>
    </row>
    <row r="31" spans="1:45" x14ac:dyDescent="0.3">
      <c r="A31">
        <v>659</v>
      </c>
      <c r="B31" t="s">
        <v>301</v>
      </c>
      <c r="C31" t="s">
        <v>820</v>
      </c>
      <c r="D31" t="s">
        <v>821</v>
      </c>
      <c r="E31" t="s">
        <v>935</v>
      </c>
      <c r="F31" t="s">
        <v>17</v>
      </c>
      <c r="G31" s="39">
        <v>45839.916666666664</v>
      </c>
      <c r="H31">
        <v>7</v>
      </c>
      <c r="I31">
        <v>2025</v>
      </c>
      <c r="J31" s="38">
        <v>60.000000006984898</v>
      </c>
      <c r="K31" t="s">
        <v>178</v>
      </c>
      <c r="L31" t="s">
        <v>80</v>
      </c>
      <c r="M31" t="s">
        <v>123</v>
      </c>
      <c r="N31" t="s">
        <v>269</v>
      </c>
      <c r="O31" t="s">
        <v>269</v>
      </c>
      <c r="P31" t="s">
        <v>710</v>
      </c>
      <c r="Q31" t="s">
        <v>266</v>
      </c>
      <c r="R31" t="s">
        <v>267</v>
      </c>
      <c r="S31" t="s">
        <v>32</v>
      </c>
      <c r="T31" t="s">
        <v>738</v>
      </c>
      <c r="U31" t="b">
        <v>1</v>
      </c>
      <c r="V31" t="b">
        <v>1</v>
      </c>
      <c r="W31" t="b">
        <v>1</v>
      </c>
      <c r="X31">
        <v>1</v>
      </c>
      <c r="Y31" s="38"/>
      <c r="AS31"/>
    </row>
    <row r="32" spans="1:45" x14ac:dyDescent="0.3">
      <c r="A32">
        <v>658</v>
      </c>
      <c r="B32" t="s">
        <v>71</v>
      </c>
      <c r="C32" t="s">
        <v>806</v>
      </c>
      <c r="D32" t="s">
        <v>932</v>
      </c>
      <c r="E32" t="s">
        <v>933</v>
      </c>
      <c r="F32" t="s">
        <v>17</v>
      </c>
      <c r="G32" s="39">
        <v>45838.916666666664</v>
      </c>
      <c r="H32">
        <v>7</v>
      </c>
      <c r="I32">
        <v>2025</v>
      </c>
      <c r="J32" s="38">
        <v>45</v>
      </c>
      <c r="K32" t="s">
        <v>89</v>
      </c>
      <c r="L32" t="s">
        <v>194</v>
      </c>
      <c r="M32" t="s">
        <v>154</v>
      </c>
      <c r="N32" t="s">
        <v>159</v>
      </c>
      <c r="O32" t="s">
        <v>790</v>
      </c>
      <c r="P32" t="s">
        <v>934</v>
      </c>
      <c r="Q32" t="s">
        <v>695</v>
      </c>
      <c r="R32" t="s">
        <v>97</v>
      </c>
      <c r="S32" t="s">
        <v>32</v>
      </c>
      <c r="T32" t="s">
        <v>738</v>
      </c>
      <c r="U32" t="b">
        <v>1</v>
      </c>
      <c r="V32" t="b">
        <v>1</v>
      </c>
      <c r="W32" t="b">
        <v>1</v>
      </c>
      <c r="X32">
        <v>1</v>
      </c>
      <c r="Y32" s="38"/>
      <c r="AS32"/>
    </row>
    <row r="33" spans="1:45" x14ac:dyDescent="0.3">
      <c r="A33">
        <v>657</v>
      </c>
      <c r="B33" t="s">
        <v>200</v>
      </c>
      <c r="C33" t="s">
        <v>920</v>
      </c>
      <c r="D33" t="s">
        <v>921</v>
      </c>
      <c r="E33" t="s">
        <v>931</v>
      </c>
      <c r="F33" t="s">
        <v>17</v>
      </c>
      <c r="G33" s="39">
        <v>45838.916666666664</v>
      </c>
      <c r="H33">
        <v>7</v>
      </c>
      <c r="I33">
        <v>2025</v>
      </c>
      <c r="J33" s="38">
        <v>30.000000003492499</v>
      </c>
      <c r="K33" t="s">
        <v>166</v>
      </c>
      <c r="L33" t="s">
        <v>182</v>
      </c>
      <c r="M33" t="s">
        <v>14</v>
      </c>
      <c r="N33" t="s">
        <v>72</v>
      </c>
      <c r="O33" t="s">
        <v>818</v>
      </c>
      <c r="P33" t="s">
        <v>199</v>
      </c>
      <c r="Q33" t="s">
        <v>167</v>
      </c>
      <c r="R33" t="s">
        <v>168</v>
      </c>
      <c r="S33" t="s">
        <v>242</v>
      </c>
      <c r="U33" t="b">
        <v>0</v>
      </c>
      <c r="V33" t="b">
        <v>1</v>
      </c>
      <c r="W33" t="b">
        <v>1</v>
      </c>
      <c r="X33">
        <v>1</v>
      </c>
      <c r="Y33" s="38"/>
      <c r="AS33"/>
    </row>
    <row r="34" spans="1:45" x14ac:dyDescent="0.3">
      <c r="A34">
        <v>656</v>
      </c>
      <c r="B34" t="s">
        <v>71</v>
      </c>
      <c r="C34" t="s">
        <v>815</v>
      </c>
      <c r="D34" t="s">
        <v>816</v>
      </c>
      <c r="E34" t="s">
        <v>930</v>
      </c>
      <c r="F34" t="s">
        <v>17</v>
      </c>
      <c r="G34" s="39">
        <v>45839.916666666664</v>
      </c>
      <c r="H34">
        <v>7</v>
      </c>
      <c r="I34">
        <v>2025</v>
      </c>
      <c r="J34" s="38">
        <v>45</v>
      </c>
      <c r="K34" t="s">
        <v>166</v>
      </c>
      <c r="L34" t="s">
        <v>182</v>
      </c>
      <c r="M34" t="s">
        <v>14</v>
      </c>
      <c r="N34" t="s">
        <v>72</v>
      </c>
      <c r="O34" t="s">
        <v>818</v>
      </c>
      <c r="P34" t="s">
        <v>34</v>
      </c>
      <c r="Q34" t="s">
        <v>167</v>
      </c>
      <c r="R34" t="s">
        <v>168</v>
      </c>
      <c r="S34" t="s">
        <v>32</v>
      </c>
      <c r="T34" t="s">
        <v>819</v>
      </c>
      <c r="U34" t="b">
        <v>1</v>
      </c>
      <c r="V34" t="b">
        <v>1</v>
      </c>
      <c r="W34" t="b">
        <v>1</v>
      </c>
      <c r="X34">
        <v>1</v>
      </c>
      <c r="Y34" s="38"/>
      <c r="AS34"/>
    </row>
    <row r="35" spans="1:45" x14ac:dyDescent="0.3">
      <c r="A35">
        <v>655</v>
      </c>
      <c r="B35" t="s">
        <v>71</v>
      </c>
      <c r="C35" t="s">
        <v>806</v>
      </c>
      <c r="D35" t="s">
        <v>840</v>
      </c>
      <c r="E35" t="s">
        <v>929</v>
      </c>
      <c r="F35" t="s">
        <v>17</v>
      </c>
      <c r="G35" s="39">
        <v>45839.916666666664</v>
      </c>
      <c r="H35">
        <v>7</v>
      </c>
      <c r="I35">
        <v>2025</v>
      </c>
      <c r="J35" s="38">
        <v>45</v>
      </c>
      <c r="K35" t="s">
        <v>33</v>
      </c>
      <c r="L35" t="s">
        <v>487</v>
      </c>
      <c r="M35" t="s">
        <v>88</v>
      </c>
      <c r="N35" t="s">
        <v>159</v>
      </c>
      <c r="O35" t="s">
        <v>790</v>
      </c>
      <c r="P35" t="s">
        <v>83</v>
      </c>
      <c r="Q35" t="s">
        <v>481</v>
      </c>
      <c r="R35" t="s">
        <v>482</v>
      </c>
      <c r="S35" t="s">
        <v>32</v>
      </c>
      <c r="T35" t="s">
        <v>738</v>
      </c>
      <c r="U35" t="b">
        <v>1</v>
      </c>
      <c r="V35" t="b">
        <v>1</v>
      </c>
      <c r="W35" t="b">
        <v>1</v>
      </c>
      <c r="X35">
        <v>1</v>
      </c>
      <c r="Y35" s="38"/>
      <c r="AS35"/>
    </row>
    <row r="36" spans="1:45" x14ac:dyDescent="0.3">
      <c r="A36">
        <v>654</v>
      </c>
      <c r="B36" t="s">
        <v>71</v>
      </c>
      <c r="C36" t="s">
        <v>806</v>
      </c>
      <c r="D36" t="s">
        <v>840</v>
      </c>
      <c r="E36" t="s">
        <v>928</v>
      </c>
      <c r="F36" t="s">
        <v>17</v>
      </c>
      <c r="G36" s="39">
        <v>45840.916666666664</v>
      </c>
      <c r="H36">
        <v>7</v>
      </c>
      <c r="I36">
        <v>2025</v>
      </c>
      <c r="J36" s="38">
        <v>30.000000003492499</v>
      </c>
      <c r="K36" t="s">
        <v>125</v>
      </c>
      <c r="L36" t="s">
        <v>126</v>
      </c>
      <c r="M36" t="s">
        <v>355</v>
      </c>
      <c r="N36" t="s">
        <v>159</v>
      </c>
      <c r="O36" t="s">
        <v>790</v>
      </c>
      <c r="P36" t="s">
        <v>83</v>
      </c>
      <c r="Q36" t="s">
        <v>356</v>
      </c>
      <c r="R36" t="s">
        <v>12</v>
      </c>
      <c r="S36" t="s">
        <v>78</v>
      </c>
      <c r="T36" t="s">
        <v>752</v>
      </c>
      <c r="U36" t="b">
        <v>0</v>
      </c>
      <c r="V36" t="b">
        <v>1</v>
      </c>
      <c r="W36" t="b">
        <v>1</v>
      </c>
      <c r="X36">
        <v>1</v>
      </c>
      <c r="Y36" s="38"/>
      <c r="AS36"/>
    </row>
    <row r="37" spans="1:45" x14ac:dyDescent="0.3">
      <c r="A37">
        <v>653</v>
      </c>
      <c r="B37" t="s">
        <v>71</v>
      </c>
      <c r="C37" t="s">
        <v>806</v>
      </c>
      <c r="D37" t="s">
        <v>840</v>
      </c>
      <c r="E37" t="s">
        <v>927</v>
      </c>
      <c r="F37" t="s">
        <v>17</v>
      </c>
      <c r="G37" s="39">
        <v>45835.916666666664</v>
      </c>
      <c r="H37">
        <v>6</v>
      </c>
      <c r="I37">
        <v>2025</v>
      </c>
      <c r="J37" s="38">
        <v>45</v>
      </c>
      <c r="K37" t="s">
        <v>178</v>
      </c>
      <c r="L37" t="s">
        <v>80</v>
      </c>
      <c r="M37" t="s">
        <v>733</v>
      </c>
      <c r="N37" t="s">
        <v>159</v>
      </c>
      <c r="O37" t="s">
        <v>790</v>
      </c>
      <c r="P37" t="s">
        <v>83</v>
      </c>
      <c r="Q37" t="s">
        <v>481</v>
      </c>
      <c r="R37" t="s">
        <v>31</v>
      </c>
      <c r="S37" t="s">
        <v>32</v>
      </c>
      <c r="T37" t="s">
        <v>738</v>
      </c>
      <c r="U37" t="b">
        <v>1</v>
      </c>
      <c r="V37" t="b">
        <v>1</v>
      </c>
      <c r="W37" t="b">
        <v>1</v>
      </c>
      <c r="X37">
        <v>1</v>
      </c>
      <c r="Y37" s="38"/>
      <c r="AS37"/>
    </row>
    <row r="38" spans="1:45" x14ac:dyDescent="0.3">
      <c r="A38">
        <v>652</v>
      </c>
      <c r="B38" t="s">
        <v>77</v>
      </c>
      <c r="C38" t="s">
        <v>810</v>
      </c>
      <c r="D38" t="s">
        <v>811</v>
      </c>
      <c r="E38" t="s">
        <v>926</v>
      </c>
      <c r="F38" t="s">
        <v>17</v>
      </c>
      <c r="G38" s="39">
        <v>45835.916666666664</v>
      </c>
      <c r="H38">
        <v>6</v>
      </c>
      <c r="I38">
        <v>2025</v>
      </c>
      <c r="J38" s="38">
        <v>59.999999996507498</v>
      </c>
      <c r="K38" t="s">
        <v>178</v>
      </c>
      <c r="L38" t="s">
        <v>80</v>
      </c>
      <c r="M38" t="s">
        <v>14</v>
      </c>
      <c r="N38" t="s">
        <v>72</v>
      </c>
      <c r="O38" t="s">
        <v>813</v>
      </c>
      <c r="P38" t="s">
        <v>228</v>
      </c>
      <c r="Q38" t="s">
        <v>135</v>
      </c>
      <c r="R38" t="s">
        <v>31</v>
      </c>
      <c r="S38" t="s">
        <v>32</v>
      </c>
      <c r="T38" t="s">
        <v>738</v>
      </c>
      <c r="U38" t="b">
        <v>1</v>
      </c>
      <c r="V38" t="b">
        <v>1</v>
      </c>
      <c r="W38" t="b">
        <v>1</v>
      </c>
      <c r="X38">
        <v>1</v>
      </c>
      <c r="Y38" s="38"/>
      <c r="AS38"/>
    </row>
    <row r="39" spans="1:45" x14ac:dyDescent="0.3">
      <c r="A39">
        <v>651</v>
      </c>
      <c r="B39" t="s">
        <v>71</v>
      </c>
      <c r="C39" t="s">
        <v>806</v>
      </c>
      <c r="D39" t="s">
        <v>840</v>
      </c>
      <c r="E39" t="s">
        <v>925</v>
      </c>
      <c r="F39" t="s">
        <v>17</v>
      </c>
      <c r="G39" s="39">
        <v>45833.916666666664</v>
      </c>
      <c r="H39">
        <v>6</v>
      </c>
      <c r="I39">
        <v>2025</v>
      </c>
      <c r="J39" s="38">
        <v>45</v>
      </c>
      <c r="K39" t="s">
        <v>14</v>
      </c>
      <c r="L39" t="s">
        <v>99</v>
      </c>
      <c r="M39" t="s">
        <v>14</v>
      </c>
      <c r="N39" t="s">
        <v>159</v>
      </c>
      <c r="O39" t="s">
        <v>790</v>
      </c>
      <c r="P39" t="s">
        <v>83</v>
      </c>
      <c r="Q39" t="s">
        <v>493</v>
      </c>
      <c r="R39" t="s">
        <v>494</v>
      </c>
      <c r="S39" t="s">
        <v>32</v>
      </c>
      <c r="T39" t="s">
        <v>738</v>
      </c>
      <c r="U39" t="b">
        <v>1</v>
      </c>
      <c r="V39" t="b">
        <v>1</v>
      </c>
      <c r="W39" t="b">
        <v>1</v>
      </c>
      <c r="X39">
        <v>1</v>
      </c>
      <c r="Y39" s="38"/>
      <c r="AS39"/>
    </row>
    <row r="40" spans="1:45" x14ac:dyDescent="0.3">
      <c r="A40">
        <v>648</v>
      </c>
      <c r="B40" t="s">
        <v>301</v>
      </c>
      <c r="C40" t="s">
        <v>820</v>
      </c>
      <c r="D40" t="s">
        <v>821</v>
      </c>
      <c r="E40" t="s">
        <v>924</v>
      </c>
      <c r="F40" t="s">
        <v>17</v>
      </c>
      <c r="G40" s="39">
        <v>45831.916666666664</v>
      </c>
      <c r="H40">
        <v>6</v>
      </c>
      <c r="I40">
        <v>2025</v>
      </c>
      <c r="J40" s="38">
        <v>60.000000006984898</v>
      </c>
      <c r="K40" t="s">
        <v>700</v>
      </c>
      <c r="L40" t="s">
        <v>701</v>
      </c>
      <c r="M40" t="s">
        <v>702</v>
      </c>
      <c r="N40" t="s">
        <v>269</v>
      </c>
      <c r="O40" t="s">
        <v>269</v>
      </c>
      <c r="P40" t="s">
        <v>710</v>
      </c>
      <c r="Q40" t="s">
        <v>266</v>
      </c>
      <c r="R40" t="s">
        <v>267</v>
      </c>
      <c r="S40" t="s">
        <v>32</v>
      </c>
      <c r="T40" t="s">
        <v>738</v>
      </c>
      <c r="U40" t="b">
        <v>1</v>
      </c>
      <c r="V40" t="b">
        <v>1</v>
      </c>
      <c r="W40" t="b">
        <v>1</v>
      </c>
      <c r="X40">
        <v>1</v>
      </c>
      <c r="Y40" s="38"/>
      <c r="AS40"/>
    </row>
    <row r="41" spans="1:45" x14ac:dyDescent="0.3">
      <c r="A41">
        <v>647</v>
      </c>
      <c r="B41" t="s">
        <v>71</v>
      </c>
      <c r="C41" t="s">
        <v>815</v>
      </c>
      <c r="D41" t="s">
        <v>907</v>
      </c>
      <c r="E41" t="s">
        <v>923</v>
      </c>
      <c r="F41" t="s">
        <v>17</v>
      </c>
      <c r="G41" s="39">
        <v>45830.916666666664</v>
      </c>
      <c r="H41">
        <v>6</v>
      </c>
      <c r="I41">
        <v>2025</v>
      </c>
      <c r="J41" s="38">
        <v>30.000000003492499</v>
      </c>
      <c r="K41" t="s">
        <v>82</v>
      </c>
      <c r="L41" t="s">
        <v>281</v>
      </c>
      <c r="M41" t="s">
        <v>93</v>
      </c>
      <c r="N41" t="s">
        <v>159</v>
      </c>
      <c r="O41" t="s">
        <v>909</v>
      </c>
      <c r="P41" t="s">
        <v>83</v>
      </c>
      <c r="Q41" t="s">
        <v>694</v>
      </c>
      <c r="R41" t="s">
        <v>87</v>
      </c>
      <c r="S41" t="s">
        <v>715</v>
      </c>
      <c r="T41" t="s">
        <v>910</v>
      </c>
      <c r="U41" t="b">
        <v>1</v>
      </c>
      <c r="V41" t="b">
        <v>1</v>
      </c>
      <c r="W41" t="b">
        <v>1</v>
      </c>
      <c r="X41">
        <v>1</v>
      </c>
      <c r="Y41" s="38"/>
      <c r="AS41"/>
    </row>
    <row r="42" spans="1:45" x14ac:dyDescent="0.3">
      <c r="A42">
        <v>646</v>
      </c>
      <c r="B42" t="s">
        <v>200</v>
      </c>
      <c r="C42" t="s">
        <v>920</v>
      </c>
      <c r="D42" t="s">
        <v>921</v>
      </c>
      <c r="E42" t="s">
        <v>922</v>
      </c>
      <c r="F42" t="s">
        <v>17</v>
      </c>
      <c r="G42" s="39">
        <v>45824.916666666664</v>
      </c>
      <c r="H42">
        <v>6</v>
      </c>
      <c r="I42">
        <v>2025</v>
      </c>
      <c r="J42" s="38">
        <v>30.000000003492499</v>
      </c>
      <c r="K42" t="s">
        <v>166</v>
      </c>
      <c r="L42" t="s">
        <v>182</v>
      </c>
      <c r="M42" t="s">
        <v>14</v>
      </c>
      <c r="N42" t="s">
        <v>72</v>
      </c>
      <c r="O42" t="s">
        <v>818</v>
      </c>
      <c r="P42" t="s">
        <v>199</v>
      </c>
      <c r="Q42" t="s">
        <v>167</v>
      </c>
      <c r="R42" t="s">
        <v>168</v>
      </c>
      <c r="S42" t="s">
        <v>242</v>
      </c>
      <c r="U42" t="b">
        <v>0</v>
      </c>
      <c r="V42" t="b">
        <v>1</v>
      </c>
      <c r="W42" t="b">
        <v>1</v>
      </c>
      <c r="X42">
        <v>1</v>
      </c>
      <c r="Y42" s="38"/>
      <c r="AS42"/>
    </row>
    <row r="43" spans="1:45" x14ac:dyDescent="0.3">
      <c r="A43">
        <v>645</v>
      </c>
      <c r="B43" t="s">
        <v>71</v>
      </c>
      <c r="C43" t="s">
        <v>815</v>
      </c>
      <c r="D43" t="s">
        <v>816</v>
      </c>
      <c r="E43" t="s">
        <v>919</v>
      </c>
      <c r="F43" t="s">
        <v>17</v>
      </c>
      <c r="G43" s="39">
        <v>45825.916666666664</v>
      </c>
      <c r="H43">
        <v>6</v>
      </c>
      <c r="I43">
        <v>2025</v>
      </c>
      <c r="J43" s="38">
        <v>45</v>
      </c>
      <c r="K43" t="s">
        <v>166</v>
      </c>
      <c r="L43" t="s">
        <v>182</v>
      </c>
      <c r="M43" t="s">
        <v>14</v>
      </c>
      <c r="N43" t="s">
        <v>72</v>
      </c>
      <c r="O43" t="s">
        <v>818</v>
      </c>
      <c r="P43" t="s">
        <v>34</v>
      </c>
      <c r="Q43" t="s">
        <v>167</v>
      </c>
      <c r="R43" t="s">
        <v>168</v>
      </c>
      <c r="S43" t="s">
        <v>32</v>
      </c>
      <c r="T43" t="s">
        <v>819</v>
      </c>
      <c r="U43" t="b">
        <v>1</v>
      </c>
      <c r="V43" t="b">
        <v>1</v>
      </c>
      <c r="W43" t="b">
        <v>1</v>
      </c>
      <c r="X43">
        <v>1</v>
      </c>
      <c r="Y43" s="38"/>
      <c r="AS43"/>
    </row>
    <row r="44" spans="1:45" x14ac:dyDescent="0.3">
      <c r="A44">
        <v>644</v>
      </c>
      <c r="B44" t="s">
        <v>71</v>
      </c>
      <c r="C44" t="s">
        <v>806</v>
      </c>
      <c r="D44" t="s">
        <v>832</v>
      </c>
      <c r="E44" t="s">
        <v>918</v>
      </c>
      <c r="F44" t="s">
        <v>17</v>
      </c>
      <c r="G44" s="39">
        <v>45809.916666666664</v>
      </c>
      <c r="H44">
        <v>6</v>
      </c>
      <c r="I44">
        <v>2025</v>
      </c>
      <c r="J44" s="38">
        <v>45</v>
      </c>
      <c r="K44" t="s">
        <v>146</v>
      </c>
      <c r="L44" t="s">
        <v>575</v>
      </c>
      <c r="M44" t="s">
        <v>14</v>
      </c>
      <c r="N44" t="s">
        <v>72</v>
      </c>
      <c r="O44" t="s">
        <v>813</v>
      </c>
      <c r="P44" t="s">
        <v>34</v>
      </c>
      <c r="Q44" t="s">
        <v>577</v>
      </c>
      <c r="R44" t="s">
        <v>12</v>
      </c>
      <c r="S44" t="s">
        <v>33</v>
      </c>
      <c r="T44" t="s">
        <v>734</v>
      </c>
      <c r="U44" t="b">
        <v>1</v>
      </c>
      <c r="V44" t="b">
        <v>1</v>
      </c>
      <c r="W44" t="b">
        <v>1</v>
      </c>
      <c r="X44">
        <v>1</v>
      </c>
      <c r="Y44" s="38"/>
      <c r="AS44"/>
    </row>
    <row r="45" spans="1:45" x14ac:dyDescent="0.3">
      <c r="A45">
        <v>643</v>
      </c>
      <c r="B45" t="s">
        <v>71</v>
      </c>
      <c r="C45" t="s">
        <v>806</v>
      </c>
      <c r="D45" t="s">
        <v>807</v>
      </c>
      <c r="E45" t="s">
        <v>917</v>
      </c>
      <c r="F45" t="s">
        <v>17</v>
      </c>
      <c r="G45" s="39">
        <v>45824.916666666664</v>
      </c>
      <c r="H45">
        <v>6</v>
      </c>
      <c r="I45">
        <v>2025</v>
      </c>
      <c r="J45" s="38">
        <v>45</v>
      </c>
      <c r="K45" t="s">
        <v>113</v>
      </c>
      <c r="L45" t="s">
        <v>114</v>
      </c>
      <c r="M45" t="s">
        <v>115</v>
      </c>
      <c r="N45" t="s">
        <v>177</v>
      </c>
      <c r="O45" t="s">
        <v>809</v>
      </c>
      <c r="P45" t="s">
        <v>107</v>
      </c>
      <c r="Q45" t="s">
        <v>116</v>
      </c>
      <c r="R45" t="s">
        <v>117</v>
      </c>
      <c r="S45" t="s">
        <v>32</v>
      </c>
      <c r="T45" t="s">
        <v>738</v>
      </c>
      <c r="U45" t="b">
        <v>1</v>
      </c>
      <c r="V45" t="b">
        <v>1</v>
      </c>
      <c r="W45" t="b">
        <v>1</v>
      </c>
      <c r="X45">
        <v>3</v>
      </c>
      <c r="Y45" s="38"/>
      <c r="AS45"/>
    </row>
    <row r="46" spans="1:45" x14ac:dyDescent="0.3">
      <c r="A46">
        <v>641</v>
      </c>
      <c r="B46" t="s">
        <v>71</v>
      </c>
      <c r="C46" t="s">
        <v>806</v>
      </c>
      <c r="D46" t="s">
        <v>832</v>
      </c>
      <c r="E46" t="s">
        <v>916</v>
      </c>
      <c r="F46" t="s">
        <v>17</v>
      </c>
      <c r="G46" s="39">
        <v>45823.916666666664</v>
      </c>
      <c r="H46">
        <v>6</v>
      </c>
      <c r="I46">
        <v>2025</v>
      </c>
      <c r="J46" s="38">
        <v>45</v>
      </c>
      <c r="K46" t="s">
        <v>175</v>
      </c>
      <c r="L46" t="s">
        <v>176</v>
      </c>
      <c r="M46" t="s">
        <v>123</v>
      </c>
      <c r="N46" t="s">
        <v>72</v>
      </c>
      <c r="O46" t="s">
        <v>813</v>
      </c>
      <c r="P46" t="s">
        <v>34</v>
      </c>
      <c r="Q46" t="s">
        <v>222</v>
      </c>
      <c r="R46" t="s">
        <v>223</v>
      </c>
      <c r="S46" t="s">
        <v>32</v>
      </c>
      <c r="T46" t="s">
        <v>738</v>
      </c>
      <c r="U46" t="b">
        <v>1</v>
      </c>
      <c r="V46" t="b">
        <v>1</v>
      </c>
      <c r="W46" t="b">
        <v>1</v>
      </c>
      <c r="X46">
        <v>2</v>
      </c>
      <c r="Y46" s="38"/>
      <c r="AS46"/>
    </row>
    <row r="47" spans="1:45" x14ac:dyDescent="0.3">
      <c r="A47">
        <v>640</v>
      </c>
      <c r="B47" t="s">
        <v>71</v>
      </c>
      <c r="C47" t="s">
        <v>806</v>
      </c>
      <c r="D47" t="s">
        <v>840</v>
      </c>
      <c r="E47" t="s">
        <v>915</v>
      </c>
      <c r="F47" t="s">
        <v>17</v>
      </c>
      <c r="G47" s="39">
        <v>45810.916666666664</v>
      </c>
      <c r="H47">
        <v>6</v>
      </c>
      <c r="I47">
        <v>2025</v>
      </c>
      <c r="J47" s="38">
        <v>30.000000003492499</v>
      </c>
      <c r="K47" t="s">
        <v>125</v>
      </c>
      <c r="L47" t="s">
        <v>126</v>
      </c>
      <c r="M47" t="s">
        <v>355</v>
      </c>
      <c r="N47" t="s">
        <v>159</v>
      </c>
      <c r="O47" t="s">
        <v>790</v>
      </c>
      <c r="P47" t="s">
        <v>83</v>
      </c>
      <c r="Q47" t="s">
        <v>356</v>
      </c>
      <c r="R47" t="s">
        <v>12</v>
      </c>
      <c r="S47" t="s">
        <v>32</v>
      </c>
      <c r="T47" t="s">
        <v>738</v>
      </c>
      <c r="U47" t="b">
        <v>1</v>
      </c>
      <c r="V47" t="b">
        <v>1</v>
      </c>
      <c r="W47" t="b">
        <v>1</v>
      </c>
      <c r="X47">
        <v>1</v>
      </c>
      <c r="Y47" s="38"/>
      <c r="AS47"/>
    </row>
    <row r="48" spans="1:45" x14ac:dyDescent="0.3">
      <c r="A48">
        <v>639</v>
      </c>
      <c r="B48" t="s">
        <v>71</v>
      </c>
      <c r="C48" t="s">
        <v>806</v>
      </c>
      <c r="D48" t="s">
        <v>840</v>
      </c>
      <c r="E48" t="s">
        <v>914</v>
      </c>
      <c r="F48" t="s">
        <v>17</v>
      </c>
      <c r="G48" s="39">
        <v>45812.916666666664</v>
      </c>
      <c r="H48">
        <v>6</v>
      </c>
      <c r="I48">
        <v>2025</v>
      </c>
      <c r="J48" s="38">
        <v>45</v>
      </c>
      <c r="K48" t="s">
        <v>89</v>
      </c>
      <c r="L48" t="s">
        <v>194</v>
      </c>
      <c r="M48" t="s">
        <v>93</v>
      </c>
      <c r="N48" t="s">
        <v>159</v>
      </c>
      <c r="O48" t="s">
        <v>790</v>
      </c>
      <c r="P48" t="s">
        <v>83</v>
      </c>
      <c r="Q48" t="s">
        <v>694</v>
      </c>
      <c r="R48" t="s">
        <v>87</v>
      </c>
      <c r="S48" t="s">
        <v>715</v>
      </c>
      <c r="T48" t="s">
        <v>756</v>
      </c>
      <c r="U48" t="b">
        <v>1</v>
      </c>
      <c r="V48" t="b">
        <v>1</v>
      </c>
      <c r="W48" t="b">
        <v>1</v>
      </c>
      <c r="X48">
        <v>1</v>
      </c>
      <c r="Y48" s="38"/>
      <c r="AS48"/>
    </row>
    <row r="49" spans="1:45" x14ac:dyDescent="0.3">
      <c r="A49">
        <v>638</v>
      </c>
      <c r="B49" t="s">
        <v>71</v>
      </c>
      <c r="C49" t="s">
        <v>806</v>
      </c>
      <c r="D49" t="s">
        <v>807</v>
      </c>
      <c r="E49" t="s">
        <v>913</v>
      </c>
      <c r="F49" t="s">
        <v>17</v>
      </c>
      <c r="G49" s="39">
        <v>45820.916666666664</v>
      </c>
      <c r="H49">
        <v>6</v>
      </c>
      <c r="I49">
        <v>2025</v>
      </c>
      <c r="J49" s="38">
        <v>45</v>
      </c>
      <c r="K49" t="s">
        <v>175</v>
      </c>
      <c r="L49" t="s">
        <v>176</v>
      </c>
      <c r="M49" t="s">
        <v>14</v>
      </c>
      <c r="N49" t="s">
        <v>177</v>
      </c>
      <c r="O49" t="s">
        <v>809</v>
      </c>
      <c r="P49" t="s">
        <v>107</v>
      </c>
      <c r="Q49" t="s">
        <v>145</v>
      </c>
      <c r="R49" t="s">
        <v>12</v>
      </c>
      <c r="S49" t="s">
        <v>715</v>
      </c>
      <c r="T49" t="s">
        <v>756</v>
      </c>
      <c r="U49" t="b">
        <v>1</v>
      </c>
      <c r="V49" t="b">
        <v>1</v>
      </c>
      <c r="W49" t="b">
        <v>1</v>
      </c>
      <c r="X49">
        <v>2</v>
      </c>
      <c r="Y49" s="38"/>
      <c r="AS49"/>
    </row>
    <row r="50" spans="1:45" x14ac:dyDescent="0.3">
      <c r="A50">
        <v>637</v>
      </c>
      <c r="B50" t="s">
        <v>71</v>
      </c>
      <c r="C50" t="s">
        <v>806</v>
      </c>
      <c r="D50" t="s">
        <v>849</v>
      </c>
      <c r="E50" t="s">
        <v>912</v>
      </c>
      <c r="F50" t="s">
        <v>17</v>
      </c>
      <c r="G50" s="39">
        <v>45813.916666666664</v>
      </c>
      <c r="H50">
        <v>6</v>
      </c>
      <c r="I50">
        <v>2025</v>
      </c>
      <c r="J50" s="38">
        <v>30.000000003492499</v>
      </c>
      <c r="K50" t="s">
        <v>110</v>
      </c>
      <c r="L50" t="s">
        <v>401</v>
      </c>
      <c r="M50" t="s">
        <v>111</v>
      </c>
      <c r="N50" t="s">
        <v>165</v>
      </c>
      <c r="O50" t="s">
        <v>851</v>
      </c>
      <c r="P50" t="s">
        <v>101</v>
      </c>
      <c r="Q50" t="s">
        <v>415</v>
      </c>
      <c r="R50" t="s">
        <v>416</v>
      </c>
      <c r="S50" t="s">
        <v>715</v>
      </c>
      <c r="T50" t="s">
        <v>756</v>
      </c>
      <c r="U50" t="b">
        <v>1</v>
      </c>
      <c r="V50" t="b">
        <v>1</v>
      </c>
      <c r="W50" t="b">
        <v>1</v>
      </c>
      <c r="X50">
        <v>2</v>
      </c>
      <c r="Y50" s="38"/>
      <c r="AS50"/>
    </row>
    <row r="51" spans="1:45" x14ac:dyDescent="0.3">
      <c r="A51">
        <v>636</v>
      </c>
      <c r="B51" t="s">
        <v>301</v>
      </c>
      <c r="C51" t="s">
        <v>820</v>
      </c>
      <c r="D51" t="s">
        <v>821</v>
      </c>
      <c r="E51" t="s">
        <v>911</v>
      </c>
      <c r="F51" t="s">
        <v>17</v>
      </c>
      <c r="G51" s="39">
        <v>45812.916666666664</v>
      </c>
      <c r="H51">
        <v>6</v>
      </c>
      <c r="I51">
        <v>2025</v>
      </c>
      <c r="J51" s="38">
        <v>60.000000006984898</v>
      </c>
      <c r="K51" t="s">
        <v>178</v>
      </c>
      <c r="L51" t="s">
        <v>80</v>
      </c>
      <c r="M51" t="s">
        <v>123</v>
      </c>
      <c r="N51" t="s">
        <v>269</v>
      </c>
      <c r="O51" t="s">
        <v>269</v>
      </c>
      <c r="P51" t="s">
        <v>710</v>
      </c>
      <c r="Q51" t="s">
        <v>266</v>
      </c>
      <c r="R51" t="s">
        <v>267</v>
      </c>
      <c r="S51" t="s">
        <v>33</v>
      </c>
      <c r="T51" t="s">
        <v>734</v>
      </c>
      <c r="U51" t="b">
        <v>1</v>
      </c>
      <c r="V51" t="b">
        <v>1</v>
      </c>
      <c r="W51" t="b">
        <v>1</v>
      </c>
      <c r="X51">
        <v>2</v>
      </c>
      <c r="Y51" s="38"/>
      <c r="AS51"/>
    </row>
    <row r="52" spans="1:45" x14ac:dyDescent="0.3">
      <c r="A52">
        <v>635</v>
      </c>
      <c r="B52" t="s">
        <v>71</v>
      </c>
      <c r="C52" t="s">
        <v>815</v>
      </c>
      <c r="D52" t="s">
        <v>907</v>
      </c>
      <c r="E52" t="s">
        <v>908</v>
      </c>
      <c r="F52" t="s">
        <v>17</v>
      </c>
      <c r="G52" s="39">
        <v>45809.916666666664</v>
      </c>
      <c r="H52">
        <v>6</v>
      </c>
      <c r="I52">
        <v>2025</v>
      </c>
      <c r="J52" s="38">
        <v>30.000000003492499</v>
      </c>
      <c r="K52" t="s">
        <v>307</v>
      </c>
      <c r="L52" t="s">
        <v>308</v>
      </c>
      <c r="M52" t="s">
        <v>309</v>
      </c>
      <c r="N52" t="s">
        <v>159</v>
      </c>
      <c r="O52" t="s">
        <v>909</v>
      </c>
      <c r="P52" t="s">
        <v>83</v>
      </c>
      <c r="Q52" t="s">
        <v>310</v>
      </c>
      <c r="R52" t="s">
        <v>87</v>
      </c>
      <c r="S52" t="s">
        <v>715</v>
      </c>
      <c r="T52" t="s">
        <v>910</v>
      </c>
      <c r="U52" t="b">
        <v>1</v>
      </c>
      <c r="V52" t="b">
        <v>1</v>
      </c>
      <c r="W52" t="b">
        <v>1</v>
      </c>
      <c r="X52">
        <v>1</v>
      </c>
      <c r="Y52" s="38"/>
      <c r="AS52"/>
    </row>
    <row r="53" spans="1:45" x14ac:dyDescent="0.3">
      <c r="A53">
        <v>634</v>
      </c>
      <c r="B53" t="s">
        <v>156</v>
      </c>
      <c r="C53" t="s">
        <v>787</v>
      </c>
      <c r="D53" t="s">
        <v>788</v>
      </c>
      <c r="E53" t="s">
        <v>906</v>
      </c>
      <c r="F53" t="s">
        <v>17</v>
      </c>
      <c r="G53" s="39">
        <v>45809.916666666664</v>
      </c>
      <c r="H53">
        <v>6</v>
      </c>
      <c r="I53">
        <v>2025</v>
      </c>
      <c r="J53" s="38">
        <v>30.000000003492499</v>
      </c>
      <c r="K53" t="s">
        <v>33</v>
      </c>
      <c r="L53" t="s">
        <v>487</v>
      </c>
      <c r="M53" t="s">
        <v>88</v>
      </c>
      <c r="N53" t="s">
        <v>159</v>
      </c>
      <c r="O53" t="s">
        <v>790</v>
      </c>
      <c r="P53" t="s">
        <v>155</v>
      </c>
      <c r="Q53" t="s">
        <v>481</v>
      </c>
      <c r="R53" t="s">
        <v>482</v>
      </c>
      <c r="S53" t="s">
        <v>32</v>
      </c>
      <c r="T53" t="s">
        <v>738</v>
      </c>
      <c r="U53" t="b">
        <v>1</v>
      </c>
      <c r="V53" t="b">
        <v>1</v>
      </c>
      <c r="W53" t="b">
        <v>1</v>
      </c>
      <c r="X53">
        <v>1</v>
      </c>
      <c r="Y53" s="38"/>
      <c r="AS53"/>
    </row>
    <row r="54" spans="1:45" x14ac:dyDescent="0.3">
      <c r="A54">
        <v>627</v>
      </c>
      <c r="B54" t="s">
        <v>301</v>
      </c>
      <c r="C54" t="s">
        <v>820</v>
      </c>
      <c r="D54" t="s">
        <v>821</v>
      </c>
      <c r="E54" t="s">
        <v>905</v>
      </c>
      <c r="F54" t="s">
        <v>17</v>
      </c>
      <c r="G54" s="39">
        <v>45803.916666666664</v>
      </c>
      <c r="H54">
        <v>5</v>
      </c>
      <c r="I54">
        <v>2025</v>
      </c>
      <c r="J54" s="38">
        <v>60.000000006984898</v>
      </c>
      <c r="K54" t="s">
        <v>700</v>
      </c>
      <c r="L54" t="s">
        <v>701</v>
      </c>
      <c r="M54" t="s">
        <v>702</v>
      </c>
      <c r="N54" t="s">
        <v>269</v>
      </c>
      <c r="O54" t="s">
        <v>269</v>
      </c>
      <c r="P54" t="s">
        <v>710</v>
      </c>
      <c r="Q54" t="s">
        <v>266</v>
      </c>
      <c r="R54" t="s">
        <v>267</v>
      </c>
      <c r="S54" t="s">
        <v>32</v>
      </c>
      <c r="T54" t="s">
        <v>738</v>
      </c>
      <c r="U54" t="b">
        <v>1</v>
      </c>
      <c r="V54" t="b">
        <v>1</v>
      </c>
      <c r="W54" t="b">
        <v>0</v>
      </c>
      <c r="Y54" s="38"/>
      <c r="AS54"/>
    </row>
    <row r="55" spans="1:45" x14ac:dyDescent="0.3">
      <c r="A55">
        <v>626</v>
      </c>
      <c r="B55" t="s">
        <v>71</v>
      </c>
      <c r="C55" t="s">
        <v>806</v>
      </c>
      <c r="D55" t="s">
        <v>840</v>
      </c>
      <c r="E55" t="s">
        <v>903</v>
      </c>
      <c r="F55" t="s">
        <v>17</v>
      </c>
      <c r="G55" s="39">
        <v>45802.916666666664</v>
      </c>
      <c r="H55">
        <v>5</v>
      </c>
      <c r="I55">
        <v>2025</v>
      </c>
      <c r="J55" s="38">
        <v>25.000000008149101</v>
      </c>
      <c r="K55" t="s">
        <v>14</v>
      </c>
      <c r="L55" t="s">
        <v>99</v>
      </c>
      <c r="M55" t="s">
        <v>147</v>
      </c>
      <c r="N55" t="s">
        <v>285</v>
      </c>
      <c r="O55" t="s">
        <v>904</v>
      </c>
      <c r="P55" t="s">
        <v>138</v>
      </c>
      <c r="Q55" t="s">
        <v>421</v>
      </c>
      <c r="R55" t="s">
        <v>422</v>
      </c>
      <c r="S55" t="s">
        <v>32</v>
      </c>
      <c r="T55" t="s">
        <v>738</v>
      </c>
      <c r="U55" t="b">
        <v>1</v>
      </c>
      <c r="V55" t="b">
        <v>1</v>
      </c>
      <c r="W55" t="b">
        <v>0</v>
      </c>
      <c r="Y55" s="38"/>
      <c r="AS55"/>
    </row>
    <row r="56" spans="1:45" x14ac:dyDescent="0.3">
      <c r="A56">
        <v>624</v>
      </c>
      <c r="B56" t="s">
        <v>71</v>
      </c>
      <c r="C56" t="s">
        <v>806</v>
      </c>
      <c r="D56" t="s">
        <v>849</v>
      </c>
      <c r="E56" t="s">
        <v>902</v>
      </c>
      <c r="F56" t="s">
        <v>17</v>
      </c>
      <c r="G56" s="39">
        <v>45802.916666666664</v>
      </c>
      <c r="H56">
        <v>5</v>
      </c>
      <c r="I56">
        <v>2025</v>
      </c>
      <c r="J56" s="38">
        <v>30.000000003492499</v>
      </c>
      <c r="K56" t="s">
        <v>140</v>
      </c>
      <c r="L56" t="s">
        <v>141</v>
      </c>
      <c r="M56" t="s">
        <v>142</v>
      </c>
      <c r="N56" t="s">
        <v>165</v>
      </c>
      <c r="O56" t="s">
        <v>851</v>
      </c>
      <c r="P56" t="s">
        <v>101</v>
      </c>
      <c r="Q56" t="s">
        <v>143</v>
      </c>
      <c r="R56" t="s">
        <v>144</v>
      </c>
      <c r="S56" t="s">
        <v>32</v>
      </c>
      <c r="T56" t="s">
        <v>738</v>
      </c>
      <c r="U56" t="b">
        <v>1</v>
      </c>
      <c r="V56" t="b">
        <v>1</v>
      </c>
      <c r="W56" t="b">
        <v>0</v>
      </c>
      <c r="Y56" s="38"/>
      <c r="AS56"/>
    </row>
    <row r="57" spans="1:45" x14ac:dyDescent="0.3">
      <c r="A57">
        <v>623</v>
      </c>
      <c r="B57" t="s">
        <v>71</v>
      </c>
      <c r="C57" t="s">
        <v>806</v>
      </c>
      <c r="D57" t="s">
        <v>849</v>
      </c>
      <c r="E57" t="s">
        <v>901</v>
      </c>
      <c r="F57" t="s">
        <v>17</v>
      </c>
      <c r="G57" s="39">
        <v>45802.916666666664</v>
      </c>
      <c r="H57">
        <v>5</v>
      </c>
      <c r="I57">
        <v>2025</v>
      </c>
      <c r="J57" s="38">
        <v>30.000000003492499</v>
      </c>
      <c r="K57" t="s">
        <v>121</v>
      </c>
      <c r="L57" t="s">
        <v>122</v>
      </c>
      <c r="M57" t="s">
        <v>123</v>
      </c>
      <c r="N57" t="s">
        <v>165</v>
      </c>
      <c r="O57" t="s">
        <v>851</v>
      </c>
      <c r="P57" t="s">
        <v>101</v>
      </c>
      <c r="Q57" t="s">
        <v>149</v>
      </c>
      <c r="R57" t="s">
        <v>124</v>
      </c>
      <c r="S57" t="s">
        <v>32</v>
      </c>
      <c r="T57" t="s">
        <v>738</v>
      </c>
      <c r="U57" t="b">
        <v>1</v>
      </c>
      <c r="V57" t="b">
        <v>1</v>
      </c>
      <c r="W57" t="b">
        <v>0</v>
      </c>
      <c r="Y57" s="38"/>
      <c r="AS57"/>
    </row>
    <row r="58" spans="1:45" x14ac:dyDescent="0.3">
      <c r="A58">
        <v>622</v>
      </c>
      <c r="B58" t="s">
        <v>71</v>
      </c>
      <c r="C58" t="s">
        <v>815</v>
      </c>
      <c r="D58" t="s">
        <v>816</v>
      </c>
      <c r="E58" t="s">
        <v>900</v>
      </c>
      <c r="F58" t="s">
        <v>17</v>
      </c>
      <c r="G58" s="39">
        <v>45799.916666666664</v>
      </c>
      <c r="H58">
        <v>5</v>
      </c>
      <c r="I58">
        <v>2025</v>
      </c>
      <c r="J58" s="38">
        <v>45</v>
      </c>
      <c r="K58" t="s">
        <v>166</v>
      </c>
      <c r="L58" t="s">
        <v>182</v>
      </c>
      <c r="M58" t="s">
        <v>14</v>
      </c>
      <c r="N58" t="s">
        <v>72</v>
      </c>
      <c r="O58" t="s">
        <v>818</v>
      </c>
      <c r="P58" t="s">
        <v>34</v>
      </c>
      <c r="Q58" t="s">
        <v>167</v>
      </c>
      <c r="R58" t="s">
        <v>168</v>
      </c>
      <c r="S58" t="s">
        <v>32</v>
      </c>
      <c r="T58" t="s">
        <v>819</v>
      </c>
      <c r="U58" t="b">
        <v>1</v>
      </c>
      <c r="V58" t="b">
        <v>1</v>
      </c>
      <c r="W58" t="b">
        <v>1</v>
      </c>
      <c r="Y58" s="38"/>
      <c r="AS58"/>
    </row>
    <row r="59" spans="1:45" x14ac:dyDescent="0.3">
      <c r="A59">
        <v>621</v>
      </c>
      <c r="B59" t="s">
        <v>71</v>
      </c>
      <c r="C59" t="s">
        <v>806</v>
      </c>
      <c r="D59" t="s">
        <v>840</v>
      </c>
      <c r="E59" t="s">
        <v>899</v>
      </c>
      <c r="F59" t="s">
        <v>17</v>
      </c>
      <c r="G59" s="39">
        <v>45799.916666666664</v>
      </c>
      <c r="H59">
        <v>5</v>
      </c>
      <c r="I59">
        <v>2025</v>
      </c>
      <c r="J59" s="38">
        <v>25.000000008149101</v>
      </c>
      <c r="K59" t="s">
        <v>14</v>
      </c>
      <c r="L59" t="s">
        <v>99</v>
      </c>
      <c r="M59" t="s">
        <v>14</v>
      </c>
      <c r="N59" t="s">
        <v>159</v>
      </c>
      <c r="O59" t="s">
        <v>790</v>
      </c>
      <c r="P59" t="s">
        <v>83</v>
      </c>
      <c r="Q59" t="s">
        <v>493</v>
      </c>
      <c r="R59" t="s">
        <v>494</v>
      </c>
      <c r="S59" t="s">
        <v>32</v>
      </c>
      <c r="T59" t="s">
        <v>738</v>
      </c>
      <c r="U59" t="b">
        <v>1</v>
      </c>
      <c r="V59" t="b">
        <v>1</v>
      </c>
      <c r="W59" t="b">
        <v>0</v>
      </c>
      <c r="Y59" s="38"/>
      <c r="AS59"/>
    </row>
    <row r="60" spans="1:45" x14ac:dyDescent="0.3">
      <c r="A60">
        <v>620</v>
      </c>
      <c r="B60" t="s">
        <v>71</v>
      </c>
      <c r="C60" t="s">
        <v>806</v>
      </c>
      <c r="D60" t="s">
        <v>807</v>
      </c>
      <c r="E60" t="s">
        <v>898</v>
      </c>
      <c r="F60" t="s">
        <v>17</v>
      </c>
      <c r="G60" s="39">
        <v>45789.916666666664</v>
      </c>
      <c r="H60">
        <v>5</v>
      </c>
      <c r="I60">
        <v>2025</v>
      </c>
      <c r="J60" s="38">
        <v>30.000000003492499</v>
      </c>
      <c r="K60" t="s">
        <v>113</v>
      </c>
      <c r="L60" t="s">
        <v>114</v>
      </c>
      <c r="M60" t="s">
        <v>115</v>
      </c>
      <c r="N60" t="s">
        <v>177</v>
      </c>
      <c r="O60" t="s">
        <v>809</v>
      </c>
      <c r="P60" t="s">
        <v>107</v>
      </c>
      <c r="Q60" t="s">
        <v>116</v>
      </c>
      <c r="R60" t="s">
        <v>117</v>
      </c>
      <c r="S60" t="s">
        <v>32</v>
      </c>
      <c r="T60" t="s">
        <v>738</v>
      </c>
      <c r="U60" t="b">
        <v>1</v>
      </c>
      <c r="V60" t="b">
        <v>1</v>
      </c>
      <c r="W60" t="b">
        <v>0</v>
      </c>
      <c r="Y60" s="38"/>
      <c r="AS60"/>
    </row>
    <row r="61" spans="1:45" x14ac:dyDescent="0.3">
      <c r="A61">
        <v>619</v>
      </c>
      <c r="B61" t="s">
        <v>71</v>
      </c>
      <c r="C61" t="s">
        <v>806</v>
      </c>
      <c r="D61" t="s">
        <v>840</v>
      </c>
      <c r="E61" t="s">
        <v>897</v>
      </c>
      <c r="F61" t="s">
        <v>17</v>
      </c>
      <c r="G61" s="39">
        <v>45789.916666666664</v>
      </c>
      <c r="H61">
        <v>5</v>
      </c>
      <c r="I61">
        <v>2025</v>
      </c>
      <c r="J61" s="38">
        <v>29.999999993015098</v>
      </c>
      <c r="K61" t="s">
        <v>148</v>
      </c>
      <c r="L61" t="s">
        <v>238</v>
      </c>
      <c r="M61" t="s">
        <v>95</v>
      </c>
      <c r="N61" t="s">
        <v>159</v>
      </c>
      <c r="O61" t="s">
        <v>790</v>
      </c>
      <c r="P61" t="s">
        <v>83</v>
      </c>
      <c r="Q61" t="s">
        <v>695</v>
      </c>
      <c r="R61" t="s">
        <v>97</v>
      </c>
      <c r="S61" t="s">
        <v>32</v>
      </c>
      <c r="T61" t="s">
        <v>738</v>
      </c>
      <c r="U61" t="b">
        <v>1</v>
      </c>
      <c r="V61" t="b">
        <v>1</v>
      </c>
      <c r="W61" t="b">
        <v>0</v>
      </c>
      <c r="Y61" s="38"/>
      <c r="AS61"/>
    </row>
    <row r="62" spans="1:45" x14ac:dyDescent="0.3">
      <c r="A62">
        <v>618</v>
      </c>
      <c r="B62" t="s">
        <v>71</v>
      </c>
      <c r="C62" t="s">
        <v>806</v>
      </c>
      <c r="D62" t="s">
        <v>832</v>
      </c>
      <c r="E62" t="s">
        <v>896</v>
      </c>
      <c r="F62" t="s">
        <v>17</v>
      </c>
      <c r="G62" s="39">
        <v>45789.916666666664</v>
      </c>
      <c r="H62">
        <v>5</v>
      </c>
      <c r="I62">
        <v>2025</v>
      </c>
      <c r="J62" s="38">
        <v>29.999999993015098</v>
      </c>
      <c r="K62" t="s">
        <v>175</v>
      </c>
      <c r="L62" t="s">
        <v>176</v>
      </c>
      <c r="M62" t="s">
        <v>123</v>
      </c>
      <c r="N62" t="s">
        <v>72</v>
      </c>
      <c r="O62" t="s">
        <v>813</v>
      </c>
      <c r="P62" t="s">
        <v>34</v>
      </c>
      <c r="Q62" t="s">
        <v>222</v>
      </c>
      <c r="R62" t="s">
        <v>223</v>
      </c>
      <c r="S62" t="s">
        <v>32</v>
      </c>
      <c r="T62" t="s">
        <v>738</v>
      </c>
      <c r="U62" t="b">
        <v>1</v>
      </c>
      <c r="V62" t="b">
        <v>1</v>
      </c>
      <c r="W62" t="b">
        <v>0</v>
      </c>
      <c r="Y62" s="38"/>
      <c r="AS62"/>
    </row>
    <row r="63" spans="1:45" x14ac:dyDescent="0.3">
      <c r="A63">
        <v>617</v>
      </c>
      <c r="B63" t="s">
        <v>71</v>
      </c>
      <c r="C63" t="s">
        <v>806</v>
      </c>
      <c r="D63" t="s">
        <v>807</v>
      </c>
      <c r="E63" t="s">
        <v>895</v>
      </c>
      <c r="F63" t="s">
        <v>17</v>
      </c>
      <c r="G63" s="39">
        <v>45789.916666666664</v>
      </c>
      <c r="H63">
        <v>5</v>
      </c>
      <c r="I63">
        <v>2025</v>
      </c>
      <c r="J63" s="38">
        <v>30.000000003492499</v>
      </c>
      <c r="K63" t="s">
        <v>175</v>
      </c>
      <c r="L63" t="s">
        <v>176</v>
      </c>
      <c r="M63" t="s">
        <v>14</v>
      </c>
      <c r="N63" t="s">
        <v>177</v>
      </c>
      <c r="O63" t="s">
        <v>809</v>
      </c>
      <c r="P63" t="s">
        <v>107</v>
      </c>
      <c r="Q63" t="s">
        <v>145</v>
      </c>
      <c r="R63" t="s">
        <v>12</v>
      </c>
      <c r="S63" t="s">
        <v>32</v>
      </c>
      <c r="T63" t="s">
        <v>738</v>
      </c>
      <c r="U63" t="b">
        <v>1</v>
      </c>
      <c r="V63" t="b">
        <v>1</v>
      </c>
      <c r="W63" t="b">
        <v>0</v>
      </c>
      <c r="Y63" s="38"/>
      <c r="AS63"/>
    </row>
    <row r="64" spans="1:45" x14ac:dyDescent="0.3">
      <c r="A64">
        <v>616</v>
      </c>
      <c r="B64" t="s">
        <v>71</v>
      </c>
      <c r="C64" t="s">
        <v>806</v>
      </c>
      <c r="D64" t="s">
        <v>840</v>
      </c>
      <c r="E64" t="s">
        <v>890</v>
      </c>
      <c r="F64" t="s">
        <v>17</v>
      </c>
      <c r="G64" s="39">
        <v>45793.916666666664</v>
      </c>
      <c r="H64">
        <v>5</v>
      </c>
      <c r="I64">
        <v>2025</v>
      </c>
      <c r="J64" s="38">
        <v>45</v>
      </c>
      <c r="K64" t="s">
        <v>891</v>
      </c>
      <c r="L64" t="s">
        <v>892</v>
      </c>
      <c r="M64" t="s">
        <v>893</v>
      </c>
      <c r="N64" t="s">
        <v>159</v>
      </c>
      <c r="O64" t="s">
        <v>790</v>
      </c>
      <c r="P64" t="s">
        <v>83</v>
      </c>
      <c r="Q64" t="s">
        <v>894</v>
      </c>
      <c r="R64" t="s">
        <v>7</v>
      </c>
      <c r="S64" t="s">
        <v>32</v>
      </c>
      <c r="T64" t="s">
        <v>738</v>
      </c>
      <c r="U64" t="b">
        <v>1</v>
      </c>
      <c r="V64" t="b">
        <v>1</v>
      </c>
      <c r="W64" t="b">
        <v>0</v>
      </c>
      <c r="Y64" s="38"/>
      <c r="AS64"/>
    </row>
    <row r="65" spans="1:45" x14ac:dyDescent="0.3">
      <c r="A65">
        <v>615</v>
      </c>
      <c r="B65" t="s">
        <v>71</v>
      </c>
      <c r="C65" t="s">
        <v>806</v>
      </c>
      <c r="D65" t="s">
        <v>840</v>
      </c>
      <c r="E65" t="s">
        <v>885</v>
      </c>
      <c r="F65" t="s">
        <v>17</v>
      </c>
      <c r="G65" s="39">
        <v>45793.916666666664</v>
      </c>
      <c r="H65">
        <v>5</v>
      </c>
      <c r="I65">
        <v>2025</v>
      </c>
      <c r="J65" s="38">
        <v>45</v>
      </c>
      <c r="K65" t="s">
        <v>886</v>
      </c>
      <c r="L65" t="s">
        <v>887</v>
      </c>
      <c r="M65" t="s">
        <v>888</v>
      </c>
      <c r="N65" t="s">
        <v>159</v>
      </c>
      <c r="O65" t="s">
        <v>790</v>
      </c>
      <c r="P65" t="s">
        <v>83</v>
      </c>
      <c r="Q65" t="s">
        <v>889</v>
      </c>
      <c r="R65" t="s">
        <v>7</v>
      </c>
      <c r="S65" t="s">
        <v>32</v>
      </c>
      <c r="T65" t="s">
        <v>738</v>
      </c>
      <c r="U65" t="b">
        <v>1</v>
      </c>
      <c r="V65" t="b">
        <v>1</v>
      </c>
      <c r="W65" t="b">
        <v>0</v>
      </c>
      <c r="Y65" s="38"/>
      <c r="AS65"/>
    </row>
    <row r="66" spans="1:45" x14ac:dyDescent="0.3">
      <c r="A66">
        <v>614</v>
      </c>
      <c r="B66" t="s">
        <v>71</v>
      </c>
      <c r="C66" t="s">
        <v>806</v>
      </c>
      <c r="D66" t="s">
        <v>840</v>
      </c>
      <c r="E66" t="s">
        <v>880</v>
      </c>
      <c r="F66" t="s">
        <v>17</v>
      </c>
      <c r="G66" s="39">
        <v>45793.916666666664</v>
      </c>
      <c r="H66">
        <v>5</v>
      </c>
      <c r="I66">
        <v>2025</v>
      </c>
      <c r="J66" s="38">
        <v>45</v>
      </c>
      <c r="K66" t="s">
        <v>881</v>
      </c>
      <c r="L66" t="s">
        <v>882</v>
      </c>
      <c r="M66" t="s">
        <v>883</v>
      </c>
      <c r="N66" t="s">
        <v>159</v>
      </c>
      <c r="O66" t="s">
        <v>790</v>
      </c>
      <c r="P66" t="s">
        <v>83</v>
      </c>
      <c r="Q66" t="s">
        <v>884</v>
      </c>
      <c r="R66" t="s">
        <v>7</v>
      </c>
      <c r="S66" t="s">
        <v>32</v>
      </c>
      <c r="T66" t="s">
        <v>738</v>
      </c>
      <c r="U66" t="b">
        <v>1</v>
      </c>
      <c r="V66" t="b">
        <v>1</v>
      </c>
      <c r="W66" t="b">
        <v>0</v>
      </c>
      <c r="Y66" s="38"/>
      <c r="AS66"/>
    </row>
    <row r="67" spans="1:45" x14ac:dyDescent="0.3">
      <c r="A67">
        <v>612</v>
      </c>
      <c r="B67" t="s">
        <v>71</v>
      </c>
      <c r="C67" t="s">
        <v>806</v>
      </c>
      <c r="D67" t="s">
        <v>840</v>
      </c>
      <c r="E67" t="s">
        <v>879</v>
      </c>
      <c r="F67" t="s">
        <v>17</v>
      </c>
      <c r="G67" s="39">
        <v>45788.916666666664</v>
      </c>
      <c r="H67">
        <v>5</v>
      </c>
      <c r="I67">
        <v>2025</v>
      </c>
      <c r="J67" s="38">
        <v>30.000000003492499</v>
      </c>
      <c r="K67" t="s">
        <v>316</v>
      </c>
      <c r="L67" t="s">
        <v>323</v>
      </c>
      <c r="M67" t="s">
        <v>317</v>
      </c>
      <c r="N67" t="s">
        <v>159</v>
      </c>
      <c r="O67" t="s">
        <v>790</v>
      </c>
      <c r="P67" t="s">
        <v>83</v>
      </c>
      <c r="Q67" t="s">
        <v>310</v>
      </c>
      <c r="R67" t="s">
        <v>87</v>
      </c>
      <c r="S67" t="s">
        <v>32</v>
      </c>
      <c r="T67" t="s">
        <v>738</v>
      </c>
      <c r="U67" t="b">
        <v>1</v>
      </c>
      <c r="V67" t="b">
        <v>1</v>
      </c>
      <c r="W67" t="b">
        <v>0</v>
      </c>
      <c r="Y67" s="38"/>
      <c r="AS67"/>
    </row>
    <row r="68" spans="1:45" x14ac:dyDescent="0.3">
      <c r="A68">
        <v>611</v>
      </c>
      <c r="B68" t="s">
        <v>71</v>
      </c>
      <c r="C68" t="s">
        <v>806</v>
      </c>
      <c r="D68" t="s">
        <v>840</v>
      </c>
      <c r="E68" t="s">
        <v>878</v>
      </c>
      <c r="F68" t="s">
        <v>17</v>
      </c>
      <c r="G68" s="39">
        <v>45785.916666666664</v>
      </c>
      <c r="H68">
        <v>5</v>
      </c>
      <c r="I68">
        <v>2025</v>
      </c>
      <c r="J68" s="38">
        <v>30.000000003492499</v>
      </c>
      <c r="K68" t="s">
        <v>89</v>
      </c>
      <c r="L68" t="s">
        <v>194</v>
      </c>
      <c r="M68" t="s">
        <v>95</v>
      </c>
      <c r="N68" t="s">
        <v>159</v>
      </c>
      <c r="O68" t="s">
        <v>790</v>
      </c>
      <c r="P68" t="s">
        <v>83</v>
      </c>
      <c r="Q68" t="s">
        <v>695</v>
      </c>
      <c r="R68" t="s">
        <v>97</v>
      </c>
      <c r="S68" t="s">
        <v>242</v>
      </c>
      <c r="U68" t="b">
        <v>0</v>
      </c>
      <c r="V68" t="b">
        <v>1</v>
      </c>
      <c r="W68" t="b">
        <v>1</v>
      </c>
      <c r="Y68" s="38"/>
      <c r="AS68"/>
    </row>
    <row r="69" spans="1:45" x14ac:dyDescent="0.3">
      <c r="A69">
        <v>610</v>
      </c>
      <c r="B69" t="s">
        <v>71</v>
      </c>
      <c r="C69" t="s">
        <v>806</v>
      </c>
      <c r="D69" t="s">
        <v>840</v>
      </c>
      <c r="E69" t="s">
        <v>877</v>
      </c>
      <c r="F69" t="s">
        <v>17</v>
      </c>
      <c r="G69" s="39">
        <v>45785.916666666664</v>
      </c>
      <c r="H69">
        <v>5</v>
      </c>
      <c r="I69">
        <v>2025</v>
      </c>
      <c r="J69" s="38">
        <v>30.000000003492499</v>
      </c>
      <c r="K69" t="s">
        <v>89</v>
      </c>
      <c r="L69" t="s">
        <v>194</v>
      </c>
      <c r="M69" t="s">
        <v>93</v>
      </c>
      <c r="N69" t="s">
        <v>159</v>
      </c>
      <c r="O69" t="s">
        <v>790</v>
      </c>
      <c r="P69" t="s">
        <v>83</v>
      </c>
      <c r="Q69" t="s">
        <v>694</v>
      </c>
      <c r="R69" t="s">
        <v>87</v>
      </c>
      <c r="S69" t="s">
        <v>242</v>
      </c>
      <c r="U69" t="b">
        <v>0</v>
      </c>
      <c r="V69" t="b">
        <v>1</v>
      </c>
      <c r="W69" t="b">
        <v>1</v>
      </c>
      <c r="Y69" s="38"/>
      <c r="AS69"/>
    </row>
    <row r="70" spans="1:45" x14ac:dyDescent="0.3">
      <c r="A70">
        <v>609</v>
      </c>
      <c r="B70" t="s">
        <v>71</v>
      </c>
      <c r="C70" t="s">
        <v>806</v>
      </c>
      <c r="D70" t="s">
        <v>849</v>
      </c>
      <c r="E70" t="s">
        <v>876</v>
      </c>
      <c r="F70" t="s">
        <v>17</v>
      </c>
      <c r="G70" s="39">
        <v>45788.916666666664</v>
      </c>
      <c r="H70">
        <v>5</v>
      </c>
      <c r="I70">
        <v>2025</v>
      </c>
      <c r="J70" s="38">
        <v>30.000000003492499</v>
      </c>
      <c r="K70" t="s">
        <v>98</v>
      </c>
      <c r="L70" t="s">
        <v>845</v>
      </c>
      <c r="M70" t="s">
        <v>689</v>
      </c>
      <c r="N70" t="s">
        <v>165</v>
      </c>
      <c r="O70" t="s">
        <v>851</v>
      </c>
      <c r="P70" t="s">
        <v>101</v>
      </c>
      <c r="Q70" t="s">
        <v>854</v>
      </c>
      <c r="R70" t="s">
        <v>855</v>
      </c>
      <c r="S70" t="s">
        <v>242</v>
      </c>
      <c r="U70" t="b">
        <v>0</v>
      </c>
      <c r="V70" t="b">
        <v>1</v>
      </c>
      <c r="W70" t="b">
        <v>0</v>
      </c>
      <c r="Y70" s="38"/>
      <c r="AS70"/>
    </row>
    <row r="71" spans="1:45" x14ac:dyDescent="0.3">
      <c r="A71">
        <v>608</v>
      </c>
      <c r="B71" t="s">
        <v>71</v>
      </c>
      <c r="C71" t="s">
        <v>806</v>
      </c>
      <c r="D71" t="s">
        <v>849</v>
      </c>
      <c r="E71" t="s">
        <v>875</v>
      </c>
      <c r="F71" t="s">
        <v>17</v>
      </c>
      <c r="G71" s="39">
        <v>45785.916666666664</v>
      </c>
      <c r="H71">
        <v>5</v>
      </c>
      <c r="I71">
        <v>2025</v>
      </c>
      <c r="J71" s="38">
        <v>30.000000003492499</v>
      </c>
      <c r="K71" t="s">
        <v>110</v>
      </c>
      <c r="L71" t="s">
        <v>401</v>
      </c>
      <c r="M71" t="s">
        <v>111</v>
      </c>
      <c r="N71" t="s">
        <v>165</v>
      </c>
      <c r="O71" t="s">
        <v>851</v>
      </c>
      <c r="P71" t="s">
        <v>101</v>
      </c>
      <c r="Q71" t="s">
        <v>415</v>
      </c>
      <c r="R71" t="s">
        <v>416</v>
      </c>
      <c r="S71" t="s">
        <v>242</v>
      </c>
      <c r="U71" t="b">
        <v>0</v>
      </c>
      <c r="V71" t="b">
        <v>1</v>
      </c>
      <c r="W71" t="b">
        <v>0</v>
      </c>
      <c r="Y71" s="38"/>
      <c r="AS71"/>
    </row>
    <row r="72" spans="1:45" x14ac:dyDescent="0.3">
      <c r="A72">
        <v>607</v>
      </c>
      <c r="B72" t="s">
        <v>71</v>
      </c>
      <c r="C72" t="s">
        <v>806</v>
      </c>
      <c r="D72" t="s">
        <v>840</v>
      </c>
      <c r="E72" t="s">
        <v>874</v>
      </c>
      <c r="F72" t="s">
        <v>17</v>
      </c>
      <c r="G72" s="39">
        <v>45785.916666666664</v>
      </c>
      <c r="H72">
        <v>5</v>
      </c>
      <c r="I72">
        <v>2025</v>
      </c>
      <c r="J72" s="38">
        <v>30.000000003492499</v>
      </c>
      <c r="K72" t="s">
        <v>173</v>
      </c>
      <c r="L72" t="s">
        <v>174</v>
      </c>
      <c r="M72" t="s">
        <v>14</v>
      </c>
      <c r="N72" t="s">
        <v>159</v>
      </c>
      <c r="O72" t="s">
        <v>790</v>
      </c>
      <c r="P72" t="s">
        <v>83</v>
      </c>
      <c r="Q72" t="s">
        <v>135</v>
      </c>
      <c r="R72" t="s">
        <v>31</v>
      </c>
      <c r="S72" t="s">
        <v>242</v>
      </c>
      <c r="U72" t="b">
        <v>0</v>
      </c>
      <c r="V72" t="b">
        <v>1</v>
      </c>
      <c r="W72" t="b">
        <v>0</v>
      </c>
      <c r="Y72" s="38"/>
      <c r="AS72"/>
    </row>
    <row r="73" spans="1:45" x14ac:dyDescent="0.3">
      <c r="A73">
        <v>604</v>
      </c>
      <c r="B73" t="s">
        <v>301</v>
      </c>
      <c r="C73" t="s">
        <v>820</v>
      </c>
      <c r="D73" t="s">
        <v>821</v>
      </c>
      <c r="E73" t="s">
        <v>873</v>
      </c>
      <c r="F73" t="s">
        <v>17</v>
      </c>
      <c r="G73" s="39">
        <v>45781.916666666664</v>
      </c>
      <c r="H73">
        <v>5</v>
      </c>
      <c r="I73">
        <v>2025</v>
      </c>
      <c r="J73" s="38">
        <v>29.999999993015098</v>
      </c>
      <c r="K73" t="s">
        <v>178</v>
      </c>
      <c r="L73" t="s">
        <v>80</v>
      </c>
      <c r="M73" t="s">
        <v>123</v>
      </c>
      <c r="N73" t="s">
        <v>269</v>
      </c>
      <c r="O73" t="s">
        <v>269</v>
      </c>
      <c r="P73" t="s">
        <v>710</v>
      </c>
      <c r="Q73" t="s">
        <v>266</v>
      </c>
      <c r="R73" t="s">
        <v>267</v>
      </c>
      <c r="S73" t="s">
        <v>242</v>
      </c>
      <c r="U73" t="b">
        <v>0</v>
      </c>
      <c r="V73" t="b">
        <v>1</v>
      </c>
      <c r="W73" t="b">
        <v>0</v>
      </c>
      <c r="Y73" s="38"/>
      <c r="AS73"/>
    </row>
    <row r="74" spans="1:45" x14ac:dyDescent="0.3">
      <c r="A74">
        <v>602</v>
      </c>
      <c r="B74" t="s">
        <v>71</v>
      </c>
      <c r="C74" t="s">
        <v>806</v>
      </c>
      <c r="D74" t="s">
        <v>832</v>
      </c>
      <c r="E74" t="s">
        <v>872</v>
      </c>
      <c r="F74" t="s">
        <v>17</v>
      </c>
      <c r="G74" s="39">
        <v>45783.916666666664</v>
      </c>
      <c r="H74">
        <v>5</v>
      </c>
      <c r="I74">
        <v>2025</v>
      </c>
      <c r="J74" s="38">
        <v>30.000000003492499</v>
      </c>
      <c r="K74" t="s">
        <v>178</v>
      </c>
      <c r="L74" t="s">
        <v>80</v>
      </c>
      <c r="M74" t="s">
        <v>14</v>
      </c>
      <c r="N74" t="s">
        <v>72</v>
      </c>
      <c r="O74" t="s">
        <v>813</v>
      </c>
      <c r="P74" t="s">
        <v>34</v>
      </c>
      <c r="Q74" t="s">
        <v>135</v>
      </c>
      <c r="R74" t="s">
        <v>31</v>
      </c>
      <c r="S74" t="s">
        <v>32</v>
      </c>
      <c r="T74" t="s">
        <v>738</v>
      </c>
      <c r="U74" t="b">
        <v>1</v>
      </c>
      <c r="V74" t="b">
        <v>1</v>
      </c>
      <c r="W74" t="b">
        <v>1</v>
      </c>
      <c r="X74">
        <v>2</v>
      </c>
      <c r="Y74" s="38"/>
      <c r="AS74"/>
    </row>
    <row r="75" spans="1:45" x14ac:dyDescent="0.3">
      <c r="A75">
        <v>600</v>
      </c>
      <c r="B75" t="s">
        <v>301</v>
      </c>
      <c r="C75" t="s">
        <v>820</v>
      </c>
      <c r="D75" t="s">
        <v>821</v>
      </c>
      <c r="E75" t="s">
        <v>870</v>
      </c>
      <c r="F75" t="s">
        <v>17</v>
      </c>
      <c r="G75" s="39">
        <v>45750.916666666664</v>
      </c>
      <c r="H75">
        <v>4</v>
      </c>
      <c r="I75">
        <v>2025</v>
      </c>
      <c r="J75" s="38">
        <v>29.999999993015098</v>
      </c>
      <c r="K75" t="s">
        <v>178</v>
      </c>
      <c r="L75" t="s">
        <v>80</v>
      </c>
      <c r="M75" t="s">
        <v>123</v>
      </c>
      <c r="N75" t="s">
        <v>269</v>
      </c>
      <c r="O75" t="s">
        <v>269</v>
      </c>
      <c r="P75" t="s">
        <v>710</v>
      </c>
      <c r="Q75" t="s">
        <v>266</v>
      </c>
      <c r="R75" t="s">
        <v>267</v>
      </c>
      <c r="S75" t="s">
        <v>32</v>
      </c>
      <c r="T75" t="s">
        <v>738</v>
      </c>
      <c r="U75" t="b">
        <v>1</v>
      </c>
      <c r="V75" t="b">
        <v>1</v>
      </c>
      <c r="W75" t="b">
        <v>0</v>
      </c>
      <c r="Y75" s="38"/>
      <c r="AS75"/>
    </row>
    <row r="76" spans="1:45" x14ac:dyDescent="0.3">
      <c r="A76">
        <v>599</v>
      </c>
      <c r="B76" t="s">
        <v>298</v>
      </c>
      <c r="C76" t="s">
        <v>823</v>
      </c>
      <c r="D76" t="s">
        <v>792</v>
      </c>
      <c r="E76" t="s">
        <v>856</v>
      </c>
      <c r="F76" t="s">
        <v>17</v>
      </c>
      <c r="G76" s="39">
        <v>45733.958333333336</v>
      </c>
      <c r="H76">
        <v>3</v>
      </c>
      <c r="I76">
        <v>2025</v>
      </c>
      <c r="J76" s="38">
        <v>239.999999996508</v>
      </c>
      <c r="K76" t="s">
        <v>178</v>
      </c>
      <c r="L76" t="s">
        <v>80</v>
      </c>
      <c r="M76" t="s">
        <v>123</v>
      </c>
      <c r="N76" t="s">
        <v>269</v>
      </c>
      <c r="O76" t="s">
        <v>269</v>
      </c>
      <c r="P76" t="s">
        <v>722</v>
      </c>
      <c r="Q76" t="s">
        <v>266</v>
      </c>
      <c r="R76" t="s">
        <v>267</v>
      </c>
      <c r="S76" t="s">
        <v>32</v>
      </c>
      <c r="T76" t="s">
        <v>727</v>
      </c>
      <c r="U76" t="b">
        <v>0</v>
      </c>
      <c r="V76" t="b">
        <v>1</v>
      </c>
      <c r="W76" t="b">
        <v>0</v>
      </c>
      <c r="Y76" s="38"/>
      <c r="AS76"/>
    </row>
    <row r="77" spans="1:45" x14ac:dyDescent="0.3">
      <c r="A77">
        <v>597</v>
      </c>
      <c r="B77" t="s">
        <v>71</v>
      </c>
      <c r="C77" t="s">
        <v>806</v>
      </c>
      <c r="D77" t="s">
        <v>849</v>
      </c>
      <c r="E77" t="s">
        <v>326</v>
      </c>
      <c r="F77" t="s">
        <v>17</v>
      </c>
      <c r="G77" s="39">
        <v>45721.958333333336</v>
      </c>
      <c r="H77">
        <v>3</v>
      </c>
      <c r="I77">
        <v>2025</v>
      </c>
      <c r="J77" s="38">
        <v>29.999999993015098</v>
      </c>
      <c r="K77" t="s">
        <v>121</v>
      </c>
      <c r="L77" t="s">
        <v>122</v>
      </c>
      <c r="M77" t="s">
        <v>123</v>
      </c>
      <c r="N77" t="s">
        <v>165</v>
      </c>
      <c r="O77" t="s">
        <v>851</v>
      </c>
      <c r="P77" t="s">
        <v>101</v>
      </c>
      <c r="Q77" t="s">
        <v>149</v>
      </c>
      <c r="R77" t="s">
        <v>124</v>
      </c>
      <c r="S77" t="s">
        <v>32</v>
      </c>
      <c r="T77" t="s">
        <v>738</v>
      </c>
      <c r="U77" t="b">
        <v>1</v>
      </c>
      <c r="V77" t="b">
        <v>1</v>
      </c>
      <c r="W77" t="b">
        <v>0</v>
      </c>
      <c r="Y77" s="38"/>
      <c r="AS77"/>
    </row>
    <row r="78" spans="1:45" x14ac:dyDescent="0.3">
      <c r="A78">
        <v>596</v>
      </c>
      <c r="B78" t="s">
        <v>71</v>
      </c>
      <c r="C78" t="s">
        <v>806</v>
      </c>
      <c r="D78" t="s">
        <v>849</v>
      </c>
      <c r="E78" t="s">
        <v>852</v>
      </c>
      <c r="F78" t="s">
        <v>17</v>
      </c>
      <c r="G78" s="39">
        <v>45727.958333333336</v>
      </c>
      <c r="H78">
        <v>3</v>
      </c>
      <c r="I78">
        <v>2025</v>
      </c>
      <c r="J78" s="38">
        <v>29.999999993015098</v>
      </c>
      <c r="K78" t="s">
        <v>125</v>
      </c>
      <c r="L78" t="s">
        <v>126</v>
      </c>
      <c r="M78" t="s">
        <v>123</v>
      </c>
      <c r="N78" t="s">
        <v>165</v>
      </c>
      <c r="O78" t="s">
        <v>851</v>
      </c>
      <c r="P78" t="s">
        <v>101</v>
      </c>
      <c r="Q78" t="s">
        <v>139</v>
      </c>
      <c r="R78" t="s">
        <v>117</v>
      </c>
      <c r="S78" t="s">
        <v>32</v>
      </c>
      <c r="T78" t="s">
        <v>738</v>
      </c>
      <c r="U78" t="b">
        <v>1</v>
      </c>
      <c r="V78" t="b">
        <v>1</v>
      </c>
      <c r="W78" t="b">
        <v>0</v>
      </c>
      <c r="Y78" s="38"/>
      <c r="AS78"/>
    </row>
    <row r="79" spans="1:45" x14ac:dyDescent="0.3">
      <c r="A79">
        <v>595</v>
      </c>
      <c r="B79" t="s">
        <v>71</v>
      </c>
      <c r="C79" t="s">
        <v>806</v>
      </c>
      <c r="D79" t="s">
        <v>849</v>
      </c>
      <c r="E79" t="s">
        <v>850</v>
      </c>
      <c r="F79" t="s">
        <v>17</v>
      </c>
      <c r="G79" s="39">
        <v>45727.958333333336</v>
      </c>
      <c r="H79">
        <v>3</v>
      </c>
      <c r="I79">
        <v>2025</v>
      </c>
      <c r="J79" s="38">
        <v>30.000000003492499</v>
      </c>
      <c r="K79" t="s">
        <v>125</v>
      </c>
      <c r="L79" t="s">
        <v>126</v>
      </c>
      <c r="M79" t="s">
        <v>13</v>
      </c>
      <c r="N79" t="s">
        <v>165</v>
      </c>
      <c r="O79" t="s">
        <v>851</v>
      </c>
      <c r="P79" t="s">
        <v>101</v>
      </c>
      <c r="Q79" t="s">
        <v>164</v>
      </c>
      <c r="R79" t="s">
        <v>132</v>
      </c>
      <c r="S79" t="s">
        <v>32</v>
      </c>
      <c r="T79" t="s">
        <v>738</v>
      </c>
      <c r="U79" t="b">
        <v>1</v>
      </c>
      <c r="V79" t="b">
        <v>1</v>
      </c>
      <c r="W79" t="b">
        <v>0</v>
      </c>
      <c r="Y79" s="38"/>
      <c r="AS79"/>
    </row>
    <row r="80" spans="1:45" x14ac:dyDescent="0.3">
      <c r="A80">
        <v>594</v>
      </c>
      <c r="B80" t="s">
        <v>71</v>
      </c>
      <c r="C80" t="s">
        <v>806</v>
      </c>
      <c r="D80" t="s">
        <v>840</v>
      </c>
      <c r="E80" t="s">
        <v>848</v>
      </c>
      <c r="F80" t="s">
        <v>17</v>
      </c>
      <c r="G80" s="39">
        <v>45722.958333333336</v>
      </c>
      <c r="H80">
        <v>3</v>
      </c>
      <c r="I80">
        <v>2025</v>
      </c>
      <c r="J80" s="38">
        <v>5.9999999986030197</v>
      </c>
      <c r="K80" t="s">
        <v>89</v>
      </c>
      <c r="L80" t="s">
        <v>194</v>
      </c>
      <c r="M80" t="s">
        <v>95</v>
      </c>
      <c r="N80" t="s">
        <v>159</v>
      </c>
      <c r="O80" t="s">
        <v>790</v>
      </c>
      <c r="P80" t="s">
        <v>83</v>
      </c>
      <c r="Q80" t="s">
        <v>695</v>
      </c>
      <c r="R80" t="s">
        <v>97</v>
      </c>
      <c r="S80" t="s">
        <v>32</v>
      </c>
      <c r="T80" t="s">
        <v>738</v>
      </c>
      <c r="U80" t="b">
        <v>1</v>
      </c>
      <c r="V80" t="b">
        <v>1</v>
      </c>
      <c r="W80" t="b">
        <v>1</v>
      </c>
      <c r="Y80" s="38"/>
      <c r="AS80"/>
    </row>
    <row r="81" spans="1:45" x14ac:dyDescent="0.3">
      <c r="A81">
        <v>593</v>
      </c>
      <c r="B81" t="s">
        <v>301</v>
      </c>
      <c r="C81" t="s">
        <v>820</v>
      </c>
      <c r="D81" t="s">
        <v>821</v>
      </c>
      <c r="E81" t="s">
        <v>847</v>
      </c>
      <c r="F81" t="s">
        <v>17</v>
      </c>
      <c r="G81" s="39">
        <v>45725.958333333336</v>
      </c>
      <c r="H81">
        <v>3</v>
      </c>
      <c r="I81">
        <v>2025</v>
      </c>
      <c r="J81" s="38">
        <v>30.000000003492499</v>
      </c>
      <c r="K81" t="s">
        <v>700</v>
      </c>
      <c r="L81" t="s">
        <v>701</v>
      </c>
      <c r="M81" t="s">
        <v>702</v>
      </c>
      <c r="N81" t="s">
        <v>269</v>
      </c>
      <c r="O81" t="s">
        <v>269</v>
      </c>
      <c r="P81" t="s">
        <v>710</v>
      </c>
      <c r="Q81" t="s">
        <v>266</v>
      </c>
      <c r="R81" t="s">
        <v>267</v>
      </c>
      <c r="S81" t="s">
        <v>32</v>
      </c>
      <c r="T81" t="s">
        <v>738</v>
      </c>
      <c r="U81" t="b">
        <v>1</v>
      </c>
      <c r="V81" t="b">
        <v>1</v>
      </c>
      <c r="W81" t="b">
        <v>0</v>
      </c>
      <c r="Y81" s="38"/>
      <c r="AS81"/>
    </row>
    <row r="82" spans="1:45" x14ac:dyDescent="0.3">
      <c r="A82">
        <v>592</v>
      </c>
      <c r="B82" t="s">
        <v>71</v>
      </c>
      <c r="C82" t="s">
        <v>806</v>
      </c>
      <c r="D82" t="s">
        <v>840</v>
      </c>
      <c r="E82" t="s">
        <v>846</v>
      </c>
      <c r="F82" t="s">
        <v>17</v>
      </c>
      <c r="G82" s="39">
        <v>45722.958333333336</v>
      </c>
      <c r="H82">
        <v>3</v>
      </c>
      <c r="I82">
        <v>2025</v>
      </c>
      <c r="J82" s="38">
        <v>30.000000003492499</v>
      </c>
      <c r="K82" t="s">
        <v>89</v>
      </c>
      <c r="L82" t="s">
        <v>194</v>
      </c>
      <c r="M82" t="s">
        <v>93</v>
      </c>
      <c r="N82" t="s">
        <v>159</v>
      </c>
      <c r="O82" t="s">
        <v>790</v>
      </c>
      <c r="P82" t="s">
        <v>83</v>
      </c>
      <c r="Q82" t="s">
        <v>694</v>
      </c>
      <c r="R82" t="s">
        <v>87</v>
      </c>
      <c r="S82" t="s">
        <v>32</v>
      </c>
      <c r="T82" t="s">
        <v>738</v>
      </c>
      <c r="U82" t="b">
        <v>1</v>
      </c>
      <c r="V82" t="b">
        <v>1</v>
      </c>
      <c r="W82" t="b">
        <v>1</v>
      </c>
      <c r="Y82" s="38"/>
      <c r="AS82"/>
    </row>
    <row r="83" spans="1:45" x14ac:dyDescent="0.3">
      <c r="A83">
        <v>588</v>
      </c>
      <c r="B83" t="s">
        <v>799</v>
      </c>
      <c r="C83" t="s">
        <v>799</v>
      </c>
      <c r="D83" t="s">
        <v>800</v>
      </c>
      <c r="E83" t="s">
        <v>844</v>
      </c>
      <c r="F83" t="s">
        <v>17</v>
      </c>
      <c r="G83" s="39">
        <v>45726.958333333336</v>
      </c>
      <c r="H83">
        <v>3</v>
      </c>
      <c r="I83">
        <v>2025</v>
      </c>
      <c r="J83" s="38">
        <v>30.000000003492499</v>
      </c>
      <c r="K83" t="s">
        <v>98</v>
      </c>
      <c r="L83" t="s">
        <v>845</v>
      </c>
      <c r="M83" t="s">
        <v>688</v>
      </c>
      <c r="N83" t="s">
        <v>802</v>
      </c>
      <c r="O83" t="s">
        <v>802</v>
      </c>
      <c r="P83" t="s">
        <v>803</v>
      </c>
      <c r="Q83" t="s">
        <v>804</v>
      </c>
      <c r="R83" t="s">
        <v>831</v>
      </c>
      <c r="S83" t="s">
        <v>33</v>
      </c>
      <c r="T83" t="s">
        <v>758</v>
      </c>
      <c r="U83" t="b">
        <v>0</v>
      </c>
      <c r="V83" t="b">
        <v>1</v>
      </c>
      <c r="W83" t="b">
        <v>0</v>
      </c>
      <c r="Y83" s="38"/>
      <c r="AS83"/>
    </row>
    <row r="84" spans="1:45" x14ac:dyDescent="0.3">
      <c r="A84">
        <v>581</v>
      </c>
      <c r="B84" t="s">
        <v>825</v>
      </c>
      <c r="C84" t="s">
        <v>826</v>
      </c>
      <c r="D84" t="s">
        <v>827</v>
      </c>
      <c r="E84" t="s">
        <v>839</v>
      </c>
      <c r="F84" t="s">
        <v>17</v>
      </c>
      <c r="G84" s="39">
        <v>45720.958333333336</v>
      </c>
      <c r="H84">
        <v>3</v>
      </c>
      <c r="I84">
        <v>2025</v>
      </c>
      <c r="J84" s="38">
        <v>15.0000000069849</v>
      </c>
      <c r="K84" t="s">
        <v>98</v>
      </c>
      <c r="L84" t="s">
        <v>829</v>
      </c>
      <c r="M84" t="s">
        <v>688</v>
      </c>
      <c r="N84" t="s">
        <v>802</v>
      </c>
      <c r="O84" t="s">
        <v>802</v>
      </c>
      <c r="P84" t="s">
        <v>830</v>
      </c>
      <c r="Q84" t="s">
        <v>804</v>
      </c>
      <c r="R84" t="s">
        <v>831</v>
      </c>
      <c r="S84" t="s">
        <v>242</v>
      </c>
      <c r="U84" t="b">
        <v>0</v>
      </c>
      <c r="V84" t="b">
        <v>1</v>
      </c>
      <c r="W84" t="b">
        <v>0</v>
      </c>
      <c r="Y84" s="38"/>
      <c r="AS84"/>
    </row>
    <row r="85" spans="1:45" x14ac:dyDescent="0.3">
      <c r="A85">
        <v>487</v>
      </c>
      <c r="B85" t="s">
        <v>834</v>
      </c>
      <c r="C85" t="s">
        <v>835</v>
      </c>
      <c r="D85" t="s">
        <v>836</v>
      </c>
      <c r="E85" t="s">
        <v>837</v>
      </c>
      <c r="F85" t="s">
        <v>17</v>
      </c>
      <c r="G85" s="39">
        <v>45718.958333333336</v>
      </c>
      <c r="H85">
        <v>3</v>
      </c>
      <c r="I85">
        <v>2025</v>
      </c>
      <c r="J85" s="38"/>
      <c r="K85" t="s">
        <v>98</v>
      </c>
      <c r="L85" t="s">
        <v>829</v>
      </c>
      <c r="M85" t="s">
        <v>688</v>
      </c>
      <c r="N85" t="s">
        <v>802</v>
      </c>
      <c r="O85" t="s">
        <v>802</v>
      </c>
      <c r="P85" t="s">
        <v>838</v>
      </c>
      <c r="Q85" t="s">
        <v>804</v>
      </c>
      <c r="R85" t="s">
        <v>831</v>
      </c>
      <c r="S85" t="s">
        <v>32</v>
      </c>
      <c r="T85" t="s">
        <v>727</v>
      </c>
      <c r="U85" t="b">
        <v>0</v>
      </c>
      <c r="V85" t="b">
        <v>1</v>
      </c>
      <c r="W85" t="b">
        <v>0</v>
      </c>
      <c r="X85">
        <v>1</v>
      </c>
      <c r="Y85" s="38">
        <v>30.000000003492499</v>
      </c>
      <c r="AS85"/>
    </row>
    <row r="86" spans="1:45" x14ac:dyDescent="0.3">
      <c r="A86">
        <v>486</v>
      </c>
      <c r="B86" t="s">
        <v>77</v>
      </c>
      <c r="C86" t="s">
        <v>810</v>
      </c>
      <c r="D86" t="s">
        <v>811</v>
      </c>
      <c r="E86" t="s">
        <v>812</v>
      </c>
      <c r="F86" t="s">
        <v>17</v>
      </c>
      <c r="G86" s="39">
        <v>45710.958333333336</v>
      </c>
      <c r="H86">
        <v>2</v>
      </c>
      <c r="I86">
        <v>2025</v>
      </c>
      <c r="J86" s="38"/>
      <c r="K86" t="s">
        <v>189</v>
      </c>
      <c r="L86" t="s">
        <v>190</v>
      </c>
      <c r="M86" t="s">
        <v>178</v>
      </c>
      <c r="N86" t="s">
        <v>72</v>
      </c>
      <c r="O86" t="s">
        <v>813</v>
      </c>
      <c r="P86" t="s">
        <v>228</v>
      </c>
      <c r="Q86" t="s">
        <v>60</v>
      </c>
      <c r="R86" t="s">
        <v>31</v>
      </c>
      <c r="S86" t="s">
        <v>32</v>
      </c>
      <c r="T86" t="s">
        <v>738</v>
      </c>
      <c r="U86" t="b">
        <v>1</v>
      </c>
      <c r="V86" t="b">
        <v>1</v>
      </c>
      <c r="W86" t="b">
        <v>0</v>
      </c>
      <c r="X86">
        <v>1</v>
      </c>
      <c r="Y86" s="38">
        <v>45</v>
      </c>
      <c r="AS86"/>
    </row>
    <row r="87" spans="1:45" x14ac:dyDescent="0.3">
      <c r="A87">
        <v>485</v>
      </c>
      <c r="B87" t="s">
        <v>71</v>
      </c>
      <c r="C87" t="s">
        <v>815</v>
      </c>
      <c r="D87" t="s">
        <v>816</v>
      </c>
      <c r="E87" t="s">
        <v>817</v>
      </c>
      <c r="F87" t="s">
        <v>17</v>
      </c>
      <c r="G87" s="39">
        <v>45710.958333333336</v>
      </c>
      <c r="H87">
        <v>2</v>
      </c>
      <c r="I87">
        <v>2025</v>
      </c>
      <c r="J87" s="38"/>
      <c r="K87" t="s">
        <v>166</v>
      </c>
      <c r="L87" t="s">
        <v>182</v>
      </c>
      <c r="M87" t="s">
        <v>14</v>
      </c>
      <c r="N87" t="s">
        <v>72</v>
      </c>
      <c r="O87" t="s">
        <v>818</v>
      </c>
      <c r="P87" t="s">
        <v>34</v>
      </c>
      <c r="Q87" t="s">
        <v>167</v>
      </c>
      <c r="R87" t="s">
        <v>168</v>
      </c>
      <c r="S87" t="s">
        <v>32</v>
      </c>
      <c r="T87" t="s">
        <v>819</v>
      </c>
      <c r="U87" t="b">
        <v>1</v>
      </c>
      <c r="V87" t="b">
        <v>1</v>
      </c>
      <c r="W87" t="b">
        <v>1</v>
      </c>
      <c r="X87">
        <v>1</v>
      </c>
      <c r="Y87" s="38">
        <v>45</v>
      </c>
      <c r="AS87"/>
    </row>
    <row r="88" spans="1:45" x14ac:dyDescent="0.3">
      <c r="A88">
        <v>484</v>
      </c>
      <c r="B88" t="s">
        <v>268</v>
      </c>
      <c r="C88" t="s">
        <v>791</v>
      </c>
      <c r="D88" t="s">
        <v>792</v>
      </c>
      <c r="E88" t="s">
        <v>814</v>
      </c>
      <c r="F88" t="s">
        <v>17</v>
      </c>
      <c r="G88" s="39">
        <v>45710.958333333336</v>
      </c>
      <c r="H88">
        <v>2</v>
      </c>
      <c r="I88">
        <v>2025</v>
      </c>
      <c r="J88" s="38"/>
      <c r="K88" t="s">
        <v>178</v>
      </c>
      <c r="L88" t="s">
        <v>80</v>
      </c>
      <c r="M88" t="s">
        <v>123</v>
      </c>
      <c r="N88" t="s">
        <v>269</v>
      </c>
      <c r="O88" t="s">
        <v>269</v>
      </c>
      <c r="P88" t="s">
        <v>707</v>
      </c>
      <c r="Q88" t="s">
        <v>266</v>
      </c>
      <c r="R88" t="s">
        <v>267</v>
      </c>
      <c r="S88" t="s">
        <v>32</v>
      </c>
      <c r="T88" t="s">
        <v>727</v>
      </c>
      <c r="U88" t="b">
        <v>0</v>
      </c>
      <c r="V88" t="b">
        <v>1</v>
      </c>
      <c r="W88" t="b">
        <v>0</v>
      </c>
      <c r="X88">
        <v>1</v>
      </c>
      <c r="Y88" s="38">
        <v>239.999999996508</v>
      </c>
      <c r="AS88"/>
    </row>
    <row r="89" spans="1:45" x14ac:dyDescent="0.3">
      <c r="A89">
        <v>483</v>
      </c>
      <c r="B89" t="s">
        <v>71</v>
      </c>
      <c r="C89" t="s">
        <v>806</v>
      </c>
      <c r="D89" t="s">
        <v>832</v>
      </c>
      <c r="E89" t="s">
        <v>833</v>
      </c>
      <c r="F89" t="s">
        <v>17</v>
      </c>
      <c r="G89" s="39">
        <v>45710.958333333336</v>
      </c>
      <c r="H89">
        <v>2</v>
      </c>
      <c r="I89">
        <v>2025</v>
      </c>
      <c r="J89" s="38"/>
      <c r="K89" t="s">
        <v>127</v>
      </c>
      <c r="L89" t="s">
        <v>150</v>
      </c>
      <c r="M89" t="s">
        <v>13</v>
      </c>
      <c r="N89" t="s">
        <v>72</v>
      </c>
      <c r="O89" t="s">
        <v>813</v>
      </c>
      <c r="P89" t="s">
        <v>34</v>
      </c>
      <c r="Q89" t="s">
        <v>145</v>
      </c>
      <c r="R89" t="s">
        <v>12</v>
      </c>
      <c r="S89" t="s">
        <v>32</v>
      </c>
      <c r="T89" t="s">
        <v>738</v>
      </c>
      <c r="U89" t="b">
        <v>1</v>
      </c>
      <c r="V89" t="b">
        <v>1</v>
      </c>
      <c r="W89" t="b">
        <v>0</v>
      </c>
      <c r="X89">
        <v>1</v>
      </c>
      <c r="Y89" s="38">
        <v>45</v>
      </c>
      <c r="AS89"/>
    </row>
    <row r="90" spans="1:45" x14ac:dyDescent="0.3">
      <c r="A90">
        <v>482</v>
      </c>
      <c r="B90" t="s">
        <v>825</v>
      </c>
      <c r="C90" t="s">
        <v>826</v>
      </c>
      <c r="D90" t="s">
        <v>827</v>
      </c>
      <c r="E90" t="s">
        <v>828</v>
      </c>
      <c r="F90" t="s">
        <v>17</v>
      </c>
      <c r="G90" s="39">
        <v>45711.958333333336</v>
      </c>
      <c r="H90">
        <v>2</v>
      </c>
      <c r="I90">
        <v>2025</v>
      </c>
      <c r="J90" s="38"/>
      <c r="K90" t="s">
        <v>98</v>
      </c>
      <c r="L90" t="s">
        <v>829</v>
      </c>
      <c r="M90" t="s">
        <v>688</v>
      </c>
      <c r="N90" t="s">
        <v>802</v>
      </c>
      <c r="O90" t="s">
        <v>802</v>
      </c>
      <c r="P90" t="s">
        <v>830</v>
      </c>
      <c r="Q90" t="s">
        <v>804</v>
      </c>
      <c r="R90" t="s">
        <v>831</v>
      </c>
      <c r="S90" t="s">
        <v>242</v>
      </c>
      <c r="U90" t="b">
        <v>0</v>
      </c>
      <c r="V90" t="b">
        <v>1</v>
      </c>
      <c r="W90" t="b">
        <v>0</v>
      </c>
      <c r="X90">
        <v>1</v>
      </c>
      <c r="Y90" s="38">
        <v>15.0000000069849</v>
      </c>
      <c r="AS90"/>
    </row>
    <row r="91" spans="1:45" x14ac:dyDescent="0.3">
      <c r="A91">
        <v>481</v>
      </c>
      <c r="B91" t="s">
        <v>298</v>
      </c>
      <c r="C91" t="s">
        <v>823</v>
      </c>
      <c r="D91" t="s">
        <v>792</v>
      </c>
      <c r="E91" t="s">
        <v>824</v>
      </c>
      <c r="F91" t="s">
        <v>17</v>
      </c>
      <c r="G91" s="39">
        <v>45713.958333333336</v>
      </c>
      <c r="H91">
        <v>2</v>
      </c>
      <c r="I91">
        <v>2025</v>
      </c>
      <c r="J91" s="38"/>
      <c r="K91" t="s">
        <v>178</v>
      </c>
      <c r="L91" t="s">
        <v>80</v>
      </c>
      <c r="M91" t="s">
        <v>123</v>
      </c>
      <c r="N91" t="s">
        <v>269</v>
      </c>
      <c r="O91" t="s">
        <v>269</v>
      </c>
      <c r="P91" t="s">
        <v>722</v>
      </c>
      <c r="Q91" t="s">
        <v>266</v>
      </c>
      <c r="R91" t="s">
        <v>267</v>
      </c>
      <c r="S91" t="s">
        <v>32</v>
      </c>
      <c r="T91" t="s">
        <v>727</v>
      </c>
      <c r="U91" t="b">
        <v>0</v>
      </c>
      <c r="V91" t="b">
        <v>1</v>
      </c>
      <c r="W91" t="b">
        <v>0</v>
      </c>
      <c r="X91">
        <v>1</v>
      </c>
      <c r="Y91" s="38">
        <v>120.000000003492</v>
      </c>
      <c r="AS91"/>
    </row>
    <row r="92" spans="1:45" x14ac:dyDescent="0.3">
      <c r="A92">
        <v>480</v>
      </c>
      <c r="B92" t="s">
        <v>71</v>
      </c>
      <c r="C92" t="s">
        <v>806</v>
      </c>
      <c r="D92" t="s">
        <v>840</v>
      </c>
      <c r="E92" t="s">
        <v>841</v>
      </c>
      <c r="F92" t="s">
        <v>17</v>
      </c>
      <c r="G92" s="39">
        <v>45700.958333333336</v>
      </c>
      <c r="H92">
        <v>2</v>
      </c>
      <c r="I92">
        <v>2025</v>
      </c>
      <c r="J92" s="38"/>
      <c r="K92" t="s">
        <v>14</v>
      </c>
      <c r="L92" t="s">
        <v>99</v>
      </c>
      <c r="M92" t="s">
        <v>14</v>
      </c>
      <c r="N92" t="s">
        <v>159</v>
      </c>
      <c r="O92" t="s">
        <v>790</v>
      </c>
      <c r="P92" t="s">
        <v>83</v>
      </c>
      <c r="Q92" t="s">
        <v>493</v>
      </c>
      <c r="R92" t="s">
        <v>494</v>
      </c>
      <c r="S92" t="s">
        <v>32</v>
      </c>
      <c r="T92" t="s">
        <v>738</v>
      </c>
      <c r="U92" t="b">
        <v>1</v>
      </c>
      <c r="V92" t="b">
        <v>1</v>
      </c>
      <c r="W92" t="b">
        <v>0</v>
      </c>
      <c r="Y92" s="38">
        <v>29.999999993015098</v>
      </c>
      <c r="AS92"/>
    </row>
    <row r="93" spans="1:45" x14ac:dyDescent="0.3">
      <c r="A93">
        <v>479</v>
      </c>
      <c r="B93" t="s">
        <v>71</v>
      </c>
      <c r="C93" t="s">
        <v>806</v>
      </c>
      <c r="D93" t="s">
        <v>807</v>
      </c>
      <c r="E93" t="s">
        <v>808</v>
      </c>
      <c r="F93" t="s">
        <v>17</v>
      </c>
      <c r="G93" s="39">
        <v>45709.958333333336</v>
      </c>
      <c r="H93">
        <v>2</v>
      </c>
      <c r="I93">
        <v>2025</v>
      </c>
      <c r="J93" s="38"/>
      <c r="K93" t="s">
        <v>175</v>
      </c>
      <c r="L93" t="s">
        <v>176</v>
      </c>
      <c r="M93" t="s">
        <v>14</v>
      </c>
      <c r="N93" t="s">
        <v>177</v>
      </c>
      <c r="O93" t="s">
        <v>809</v>
      </c>
      <c r="P93" t="s">
        <v>107</v>
      </c>
      <c r="Q93" t="s">
        <v>145</v>
      </c>
      <c r="R93" t="s">
        <v>12</v>
      </c>
      <c r="S93" t="s">
        <v>32</v>
      </c>
      <c r="T93" t="s">
        <v>738</v>
      </c>
      <c r="U93" t="b">
        <v>1</v>
      </c>
      <c r="V93" t="b">
        <v>1</v>
      </c>
      <c r="W93" t="b">
        <v>1</v>
      </c>
      <c r="Y93" s="38">
        <v>45</v>
      </c>
      <c r="AS93"/>
    </row>
    <row r="94" spans="1:45" x14ac:dyDescent="0.3">
      <c r="A94">
        <v>478</v>
      </c>
      <c r="B94" t="s">
        <v>156</v>
      </c>
      <c r="C94" t="s">
        <v>787</v>
      </c>
      <c r="D94" t="s">
        <v>788</v>
      </c>
      <c r="E94" t="s">
        <v>789</v>
      </c>
      <c r="F94" t="s">
        <v>17</v>
      </c>
      <c r="G94" s="39">
        <v>45665.958333333336</v>
      </c>
      <c r="H94">
        <v>1</v>
      </c>
      <c r="I94">
        <v>2025</v>
      </c>
      <c r="J94" s="38"/>
      <c r="K94" t="s">
        <v>173</v>
      </c>
      <c r="L94" t="s">
        <v>174</v>
      </c>
      <c r="M94" t="s">
        <v>14</v>
      </c>
      <c r="N94" t="s">
        <v>159</v>
      </c>
      <c r="O94" t="s">
        <v>790</v>
      </c>
      <c r="P94" t="s">
        <v>155</v>
      </c>
      <c r="Q94" t="s">
        <v>135</v>
      </c>
      <c r="R94" t="s">
        <v>31</v>
      </c>
      <c r="S94" t="s">
        <v>32</v>
      </c>
      <c r="T94" t="s">
        <v>738</v>
      </c>
      <c r="U94" t="b">
        <v>1</v>
      </c>
      <c r="V94" t="b">
        <v>1</v>
      </c>
      <c r="W94" t="b">
        <v>0</v>
      </c>
      <c r="Y94" s="38"/>
      <c r="AS94"/>
    </row>
    <row r="95" spans="1:45" x14ac:dyDescent="0.3">
      <c r="A95">
        <v>477</v>
      </c>
      <c r="B95" t="s">
        <v>303</v>
      </c>
      <c r="C95" t="s">
        <v>795</v>
      </c>
      <c r="D95" t="s">
        <v>796</v>
      </c>
      <c r="E95" t="s">
        <v>798</v>
      </c>
      <c r="F95" t="s">
        <v>17</v>
      </c>
      <c r="G95" s="39">
        <v>45706.958333333336</v>
      </c>
      <c r="H95">
        <v>2</v>
      </c>
      <c r="I95">
        <v>2025</v>
      </c>
      <c r="J95" s="38"/>
      <c r="K95" t="s">
        <v>178</v>
      </c>
      <c r="L95" t="s">
        <v>80</v>
      </c>
      <c r="M95" t="s">
        <v>123</v>
      </c>
      <c r="N95" t="s">
        <v>269</v>
      </c>
      <c r="O95" t="s">
        <v>269</v>
      </c>
      <c r="P95" t="s">
        <v>302</v>
      </c>
      <c r="Q95" t="s">
        <v>266</v>
      </c>
      <c r="R95" t="s">
        <v>267</v>
      </c>
      <c r="S95" t="s">
        <v>715</v>
      </c>
      <c r="T95" t="s">
        <v>729</v>
      </c>
      <c r="U95" t="b">
        <v>0</v>
      </c>
      <c r="V95" t="b">
        <v>1</v>
      </c>
      <c r="W95" t="b">
        <v>0</v>
      </c>
      <c r="Y95" s="38">
        <v>15.0000000069849</v>
      </c>
      <c r="AS95"/>
    </row>
    <row r="96" spans="1:45" x14ac:dyDescent="0.3">
      <c r="A96">
        <v>476</v>
      </c>
      <c r="B96" t="s">
        <v>301</v>
      </c>
      <c r="C96" t="s">
        <v>820</v>
      </c>
      <c r="D96" t="s">
        <v>821</v>
      </c>
      <c r="E96" t="s">
        <v>842</v>
      </c>
      <c r="F96" t="s">
        <v>17</v>
      </c>
      <c r="G96" s="39">
        <v>45705.958333333336</v>
      </c>
      <c r="H96">
        <v>2</v>
      </c>
      <c r="I96">
        <v>2025</v>
      </c>
      <c r="J96" s="38"/>
      <c r="K96" t="s">
        <v>178</v>
      </c>
      <c r="L96" t="s">
        <v>80</v>
      </c>
      <c r="M96" t="s">
        <v>123</v>
      </c>
      <c r="N96" t="s">
        <v>269</v>
      </c>
      <c r="O96" t="s">
        <v>269</v>
      </c>
      <c r="P96" t="s">
        <v>710</v>
      </c>
      <c r="Q96" t="s">
        <v>266</v>
      </c>
      <c r="R96" t="s">
        <v>267</v>
      </c>
      <c r="S96" t="s">
        <v>32</v>
      </c>
      <c r="T96" t="s">
        <v>738</v>
      </c>
      <c r="U96" t="b">
        <v>1</v>
      </c>
      <c r="V96" t="b">
        <v>1</v>
      </c>
      <c r="W96" t="b">
        <v>0</v>
      </c>
      <c r="Y96" s="38">
        <v>60.000000006984898</v>
      </c>
      <c r="AS96"/>
    </row>
    <row r="97" spans="1:45" x14ac:dyDescent="0.3">
      <c r="A97">
        <v>475</v>
      </c>
      <c r="B97" t="s">
        <v>268</v>
      </c>
      <c r="C97" t="s">
        <v>791</v>
      </c>
      <c r="D97" t="s">
        <v>792</v>
      </c>
      <c r="E97" t="s">
        <v>793</v>
      </c>
      <c r="F97" t="s">
        <v>17</v>
      </c>
      <c r="G97" s="39">
        <v>45705.958333333336</v>
      </c>
      <c r="H97">
        <v>2</v>
      </c>
      <c r="I97">
        <v>2025</v>
      </c>
      <c r="J97" s="38"/>
      <c r="K97" t="s">
        <v>178</v>
      </c>
      <c r="L97" t="s">
        <v>80</v>
      </c>
      <c r="M97" t="s">
        <v>123</v>
      </c>
      <c r="N97" t="s">
        <v>269</v>
      </c>
      <c r="O97" t="s">
        <v>269</v>
      </c>
      <c r="P97" t="s">
        <v>707</v>
      </c>
      <c r="Q97" t="s">
        <v>266</v>
      </c>
      <c r="R97" t="s">
        <v>267</v>
      </c>
      <c r="S97" t="s">
        <v>32</v>
      </c>
      <c r="T97" t="s">
        <v>727</v>
      </c>
      <c r="U97" t="b">
        <v>0</v>
      </c>
      <c r="V97" t="b">
        <v>1</v>
      </c>
      <c r="W97" t="b">
        <v>0</v>
      </c>
      <c r="Y97" s="38">
        <v>120.000000003492</v>
      </c>
      <c r="AS97"/>
    </row>
    <row r="98" spans="1:45" x14ac:dyDescent="0.3">
      <c r="A98">
        <v>474</v>
      </c>
      <c r="B98" t="s">
        <v>71</v>
      </c>
      <c r="C98" t="s">
        <v>806</v>
      </c>
      <c r="D98" t="s">
        <v>840</v>
      </c>
      <c r="E98" t="s">
        <v>843</v>
      </c>
      <c r="F98" t="s">
        <v>17</v>
      </c>
      <c r="G98" s="39">
        <v>45708.958333333336</v>
      </c>
      <c r="H98">
        <v>2</v>
      </c>
      <c r="I98">
        <v>2025</v>
      </c>
      <c r="J98" s="38"/>
      <c r="K98" t="s">
        <v>151</v>
      </c>
      <c r="L98" t="s">
        <v>288</v>
      </c>
      <c r="M98" t="s">
        <v>90</v>
      </c>
      <c r="N98" t="s">
        <v>159</v>
      </c>
      <c r="O98" t="s">
        <v>790</v>
      </c>
      <c r="P98" t="s">
        <v>83</v>
      </c>
      <c r="Q98" t="s">
        <v>402</v>
      </c>
      <c r="R98" t="s">
        <v>92</v>
      </c>
      <c r="S98" t="s">
        <v>32</v>
      </c>
      <c r="T98" t="s">
        <v>738</v>
      </c>
      <c r="U98" t="b">
        <v>1</v>
      </c>
      <c r="V98" t="b">
        <v>1</v>
      </c>
      <c r="W98" t="b">
        <v>0</v>
      </c>
      <c r="Y98" s="38">
        <v>29.999999993015098</v>
      </c>
      <c r="AS98"/>
    </row>
    <row r="99" spans="1:45" x14ac:dyDescent="0.3">
      <c r="A99">
        <v>473</v>
      </c>
      <c r="B99" t="s">
        <v>71</v>
      </c>
      <c r="E99" t="s">
        <v>781</v>
      </c>
      <c r="F99" t="s">
        <v>17</v>
      </c>
      <c r="G99" s="39">
        <v>45623.958333333336</v>
      </c>
      <c r="H99">
        <v>11</v>
      </c>
      <c r="I99">
        <v>2024</v>
      </c>
      <c r="J99" s="38"/>
      <c r="K99" t="s">
        <v>140</v>
      </c>
      <c r="L99" t="s">
        <v>141</v>
      </c>
      <c r="M99" t="s">
        <v>152</v>
      </c>
      <c r="N99" t="s">
        <v>72</v>
      </c>
      <c r="O99"/>
      <c r="P99" t="s">
        <v>34</v>
      </c>
      <c r="Q99" t="s">
        <v>60</v>
      </c>
      <c r="R99" t="s">
        <v>7</v>
      </c>
      <c r="S99" t="s">
        <v>78</v>
      </c>
      <c r="T99" t="s">
        <v>752</v>
      </c>
      <c r="U99" t="b">
        <v>0</v>
      </c>
      <c r="V99" t="b">
        <v>1</v>
      </c>
      <c r="W99" t="b">
        <v>0</v>
      </c>
      <c r="Y99" s="38"/>
      <c r="AS99"/>
    </row>
    <row r="100" spans="1:45" x14ac:dyDescent="0.3">
      <c r="A100">
        <v>472</v>
      </c>
      <c r="B100" t="s">
        <v>301</v>
      </c>
      <c r="C100" t="s">
        <v>820</v>
      </c>
      <c r="D100" t="s">
        <v>821</v>
      </c>
      <c r="E100" t="s">
        <v>822</v>
      </c>
      <c r="F100" t="s">
        <v>17</v>
      </c>
      <c r="G100" s="39">
        <v>45695.958333333336</v>
      </c>
      <c r="H100">
        <v>2</v>
      </c>
      <c r="I100">
        <v>2025</v>
      </c>
      <c r="J100" s="38"/>
      <c r="K100" t="s">
        <v>700</v>
      </c>
      <c r="L100" t="s">
        <v>701</v>
      </c>
      <c r="M100" t="s">
        <v>702</v>
      </c>
      <c r="N100" t="s">
        <v>269</v>
      </c>
      <c r="O100" t="s">
        <v>269</v>
      </c>
      <c r="P100" t="s">
        <v>710</v>
      </c>
      <c r="Q100" t="s">
        <v>266</v>
      </c>
      <c r="R100" t="s">
        <v>267</v>
      </c>
      <c r="S100" t="s">
        <v>32</v>
      </c>
      <c r="T100" t="s">
        <v>738</v>
      </c>
      <c r="U100" t="b">
        <v>1</v>
      </c>
      <c r="V100" t="b">
        <v>1</v>
      </c>
      <c r="W100" t="b">
        <v>0</v>
      </c>
      <c r="Y100" s="38">
        <v>45</v>
      </c>
      <c r="AS100"/>
    </row>
    <row r="101" spans="1:45" x14ac:dyDescent="0.3">
      <c r="A101">
        <v>471</v>
      </c>
      <c r="B101" t="s">
        <v>71</v>
      </c>
      <c r="E101" t="s">
        <v>783</v>
      </c>
      <c r="F101" t="s">
        <v>17</v>
      </c>
      <c r="G101" s="39">
        <v>45623.958333333336</v>
      </c>
      <c r="H101">
        <v>11</v>
      </c>
      <c r="I101">
        <v>2024</v>
      </c>
      <c r="J101" s="38"/>
      <c r="K101" t="s">
        <v>146</v>
      </c>
      <c r="L101" t="s">
        <v>575</v>
      </c>
      <c r="M101" t="s">
        <v>14</v>
      </c>
      <c r="N101" t="s">
        <v>72</v>
      </c>
      <c r="O101"/>
      <c r="P101" t="s">
        <v>34</v>
      </c>
      <c r="Q101" t="s">
        <v>577</v>
      </c>
      <c r="R101" t="s">
        <v>12</v>
      </c>
      <c r="S101" t="s">
        <v>32</v>
      </c>
      <c r="T101" t="s">
        <v>738</v>
      </c>
      <c r="U101" t="b">
        <v>1</v>
      </c>
      <c r="V101" t="b">
        <v>1</v>
      </c>
      <c r="W101" t="b">
        <v>0</v>
      </c>
      <c r="Y101" s="38"/>
      <c r="AS101"/>
    </row>
    <row r="102" spans="1:45" x14ac:dyDescent="0.3">
      <c r="A102">
        <v>470</v>
      </c>
      <c r="B102" t="s">
        <v>303</v>
      </c>
      <c r="C102" t="s">
        <v>795</v>
      </c>
      <c r="D102" t="s">
        <v>796</v>
      </c>
      <c r="E102" t="s">
        <v>797</v>
      </c>
      <c r="F102" t="s">
        <v>17</v>
      </c>
      <c r="G102" s="39">
        <v>45705.958333333336</v>
      </c>
      <c r="H102">
        <v>2</v>
      </c>
      <c r="I102">
        <v>2025</v>
      </c>
      <c r="J102" s="38"/>
      <c r="K102" t="s">
        <v>178</v>
      </c>
      <c r="L102" t="s">
        <v>80</v>
      </c>
      <c r="M102" t="s">
        <v>123</v>
      </c>
      <c r="N102" t="s">
        <v>269</v>
      </c>
      <c r="O102" t="s">
        <v>269</v>
      </c>
      <c r="P102" t="s">
        <v>302</v>
      </c>
      <c r="Q102" t="s">
        <v>266</v>
      </c>
      <c r="R102" t="s">
        <v>267</v>
      </c>
      <c r="S102" t="s">
        <v>715</v>
      </c>
      <c r="T102" t="s">
        <v>729</v>
      </c>
      <c r="U102" t="b">
        <v>0</v>
      </c>
      <c r="V102" t="b">
        <v>1</v>
      </c>
      <c r="W102" t="b">
        <v>0</v>
      </c>
      <c r="Y102" s="38">
        <v>15.0000000069849</v>
      </c>
      <c r="AS102"/>
    </row>
    <row r="103" spans="1:45" x14ac:dyDescent="0.3">
      <c r="A103">
        <v>469</v>
      </c>
      <c r="B103" t="s">
        <v>71</v>
      </c>
      <c r="E103" t="s">
        <v>784</v>
      </c>
      <c r="F103" t="s">
        <v>17</v>
      </c>
      <c r="G103" s="39">
        <v>45624.958333333336</v>
      </c>
      <c r="H103">
        <v>11</v>
      </c>
      <c r="I103">
        <v>2024</v>
      </c>
      <c r="J103" s="38"/>
      <c r="K103" t="s">
        <v>14</v>
      </c>
      <c r="L103" t="s">
        <v>99</v>
      </c>
      <c r="M103" t="s">
        <v>112</v>
      </c>
      <c r="N103" t="s">
        <v>72</v>
      </c>
      <c r="O103"/>
      <c r="P103" t="s">
        <v>34</v>
      </c>
      <c r="Q103" t="s">
        <v>135</v>
      </c>
      <c r="R103" t="s">
        <v>31</v>
      </c>
      <c r="S103" t="s">
        <v>32</v>
      </c>
      <c r="T103" t="s">
        <v>738</v>
      </c>
      <c r="U103" t="b">
        <v>1</v>
      </c>
      <c r="V103" t="b">
        <v>1</v>
      </c>
      <c r="W103" t="b">
        <v>1</v>
      </c>
      <c r="Y103" s="38"/>
      <c r="AS103"/>
    </row>
    <row r="104" spans="1:45" x14ac:dyDescent="0.3">
      <c r="A104">
        <v>468</v>
      </c>
      <c r="B104" t="s">
        <v>156</v>
      </c>
      <c r="E104" t="s">
        <v>786</v>
      </c>
      <c r="F104" t="s">
        <v>17</v>
      </c>
      <c r="G104" s="39">
        <v>45632.958333333336</v>
      </c>
      <c r="H104">
        <v>12</v>
      </c>
      <c r="I104">
        <v>2024</v>
      </c>
      <c r="J104" s="38"/>
      <c r="K104" t="s">
        <v>178</v>
      </c>
      <c r="L104" t="s">
        <v>80</v>
      </c>
      <c r="M104" t="s">
        <v>14</v>
      </c>
      <c r="N104" t="s">
        <v>72</v>
      </c>
      <c r="O104"/>
      <c r="P104" t="s">
        <v>169</v>
      </c>
      <c r="Q104" t="s">
        <v>135</v>
      </c>
      <c r="R104" t="s">
        <v>31</v>
      </c>
      <c r="S104" t="s">
        <v>32</v>
      </c>
      <c r="T104" t="s">
        <v>738</v>
      </c>
      <c r="U104" t="b">
        <v>1</v>
      </c>
      <c r="V104" t="b">
        <v>1</v>
      </c>
      <c r="W104" t="b">
        <v>1</v>
      </c>
      <c r="Y104" s="38"/>
      <c r="AS104"/>
    </row>
    <row r="105" spans="1:45" x14ac:dyDescent="0.3">
      <c r="A105">
        <v>467</v>
      </c>
      <c r="B105" t="s">
        <v>156</v>
      </c>
      <c r="E105" t="s">
        <v>785</v>
      </c>
      <c r="F105" t="s">
        <v>17</v>
      </c>
      <c r="G105" s="39">
        <v>45625.958333333336</v>
      </c>
      <c r="H105">
        <v>11</v>
      </c>
      <c r="I105">
        <v>2024</v>
      </c>
      <c r="J105" s="38"/>
      <c r="K105" t="s">
        <v>178</v>
      </c>
      <c r="L105" t="s">
        <v>80</v>
      </c>
      <c r="M105" t="s">
        <v>14</v>
      </c>
      <c r="N105" t="s">
        <v>72</v>
      </c>
      <c r="O105"/>
      <c r="P105" t="s">
        <v>169</v>
      </c>
      <c r="Q105" t="s">
        <v>135</v>
      </c>
      <c r="R105" t="s">
        <v>31</v>
      </c>
      <c r="S105" t="s">
        <v>32</v>
      </c>
      <c r="T105" t="s">
        <v>738</v>
      </c>
      <c r="U105" t="b">
        <v>1</v>
      </c>
      <c r="V105" t="b">
        <v>1</v>
      </c>
      <c r="W105" t="b">
        <v>1</v>
      </c>
      <c r="Y105" s="38"/>
      <c r="AS105"/>
    </row>
    <row r="106" spans="1:45" x14ac:dyDescent="0.3">
      <c r="A106">
        <v>466</v>
      </c>
      <c r="B106" t="s">
        <v>71</v>
      </c>
      <c r="E106" t="s">
        <v>782</v>
      </c>
      <c r="F106" t="s">
        <v>17</v>
      </c>
      <c r="G106" s="39">
        <v>45620.958333333336</v>
      </c>
      <c r="H106">
        <v>11</v>
      </c>
      <c r="I106">
        <v>2024</v>
      </c>
      <c r="J106" s="38"/>
      <c r="K106" t="s">
        <v>32</v>
      </c>
      <c r="L106" t="s">
        <v>480</v>
      </c>
      <c r="M106" t="s">
        <v>136</v>
      </c>
      <c r="N106" t="s">
        <v>159</v>
      </c>
      <c r="O106"/>
      <c r="P106" t="s">
        <v>83</v>
      </c>
      <c r="Q106" t="s">
        <v>481</v>
      </c>
      <c r="R106" t="s">
        <v>482</v>
      </c>
      <c r="S106" t="s">
        <v>78</v>
      </c>
      <c r="T106" t="s">
        <v>752</v>
      </c>
      <c r="U106" t="b">
        <v>0</v>
      </c>
      <c r="V106" t="b">
        <v>1</v>
      </c>
      <c r="W106" t="b">
        <v>1</v>
      </c>
      <c r="Y106" s="38"/>
      <c r="AS106"/>
    </row>
    <row r="107" spans="1:45" x14ac:dyDescent="0.3">
      <c r="A107">
        <v>465</v>
      </c>
      <c r="B107" t="s">
        <v>799</v>
      </c>
      <c r="C107" t="s">
        <v>799</v>
      </c>
      <c r="D107" t="s">
        <v>800</v>
      </c>
      <c r="E107" t="s">
        <v>801</v>
      </c>
      <c r="F107" t="s">
        <v>17</v>
      </c>
      <c r="G107" s="39">
        <v>45709.958333333336</v>
      </c>
      <c r="H107">
        <v>2</v>
      </c>
      <c r="I107">
        <v>2025</v>
      </c>
      <c r="J107" s="38"/>
      <c r="K107" t="s">
        <v>687</v>
      </c>
      <c r="L107" t="s">
        <v>5</v>
      </c>
      <c r="M107" t="s">
        <v>688</v>
      </c>
      <c r="N107" t="s">
        <v>802</v>
      </c>
      <c r="O107" t="s">
        <v>802</v>
      </c>
      <c r="P107" t="s">
        <v>803</v>
      </c>
      <c r="Q107" t="s">
        <v>804</v>
      </c>
      <c r="R107" t="s">
        <v>805</v>
      </c>
      <c r="S107" t="s">
        <v>32</v>
      </c>
      <c r="T107" t="s">
        <v>727</v>
      </c>
      <c r="U107" t="b">
        <v>0</v>
      </c>
      <c r="V107" t="b">
        <v>1</v>
      </c>
      <c r="W107" t="b">
        <v>0</v>
      </c>
      <c r="Y107" s="38">
        <v>30.000000003492499</v>
      </c>
      <c r="AS107"/>
    </row>
    <row r="108" spans="1:45" x14ac:dyDescent="0.3">
      <c r="A108">
        <v>464</v>
      </c>
      <c r="B108" t="s">
        <v>301</v>
      </c>
      <c r="E108" t="s">
        <v>865</v>
      </c>
      <c r="F108" t="s">
        <v>17</v>
      </c>
      <c r="G108" s="39">
        <v>45617.958333333336</v>
      </c>
      <c r="H108">
        <v>11</v>
      </c>
      <c r="I108">
        <v>2024</v>
      </c>
      <c r="J108" s="38"/>
      <c r="K108" t="s">
        <v>178</v>
      </c>
      <c r="L108" t="s">
        <v>80</v>
      </c>
      <c r="M108" t="s">
        <v>123</v>
      </c>
      <c r="N108" t="s">
        <v>269</v>
      </c>
      <c r="O108"/>
      <c r="P108" t="s">
        <v>710</v>
      </c>
      <c r="Q108" t="s">
        <v>266</v>
      </c>
      <c r="R108" t="s">
        <v>267</v>
      </c>
      <c r="S108" t="s">
        <v>32</v>
      </c>
      <c r="T108" t="s">
        <v>738</v>
      </c>
      <c r="U108" t="b">
        <v>1</v>
      </c>
      <c r="V108" t="b">
        <v>1</v>
      </c>
      <c r="W108" t="b">
        <v>1</v>
      </c>
      <c r="Y108" s="38"/>
      <c r="AS108"/>
    </row>
    <row r="109" spans="1:45" x14ac:dyDescent="0.3">
      <c r="A109">
        <v>463</v>
      </c>
      <c r="B109" t="s">
        <v>71</v>
      </c>
      <c r="E109" t="s">
        <v>864</v>
      </c>
      <c r="F109" t="s">
        <v>17</v>
      </c>
      <c r="G109" s="39">
        <v>45606.958333333336</v>
      </c>
      <c r="H109">
        <v>11</v>
      </c>
      <c r="I109">
        <v>2024</v>
      </c>
      <c r="J109" s="38"/>
      <c r="K109" t="s">
        <v>14</v>
      </c>
      <c r="L109" t="s">
        <v>99</v>
      </c>
      <c r="M109" t="s">
        <v>14</v>
      </c>
      <c r="N109" t="s">
        <v>159</v>
      </c>
      <c r="O109"/>
      <c r="P109" t="s">
        <v>83</v>
      </c>
      <c r="Q109" t="s">
        <v>493</v>
      </c>
      <c r="R109" t="s">
        <v>494</v>
      </c>
      <c r="S109" t="s">
        <v>33</v>
      </c>
      <c r="T109" t="s">
        <v>734</v>
      </c>
      <c r="U109" t="b">
        <v>1</v>
      </c>
      <c r="V109" t="b">
        <v>1</v>
      </c>
      <c r="W109" t="b">
        <v>0</v>
      </c>
      <c r="Y109" s="38"/>
      <c r="AS109"/>
    </row>
    <row r="110" spans="1:45" x14ac:dyDescent="0.3">
      <c r="A110">
        <v>462</v>
      </c>
      <c r="B110" t="s">
        <v>71</v>
      </c>
      <c r="E110" t="s">
        <v>775</v>
      </c>
      <c r="F110" t="s">
        <v>17</v>
      </c>
      <c r="G110" s="39">
        <v>45608.958333333336</v>
      </c>
      <c r="H110">
        <v>11</v>
      </c>
      <c r="I110">
        <v>2024</v>
      </c>
      <c r="J110" s="38"/>
      <c r="K110" t="s">
        <v>113</v>
      </c>
      <c r="L110" t="s">
        <v>114</v>
      </c>
      <c r="M110" t="s">
        <v>115</v>
      </c>
      <c r="N110" t="s">
        <v>177</v>
      </c>
      <c r="O110"/>
      <c r="P110" t="s">
        <v>107</v>
      </c>
      <c r="Q110" t="s">
        <v>116</v>
      </c>
      <c r="R110" t="s">
        <v>117</v>
      </c>
      <c r="S110" t="s">
        <v>32</v>
      </c>
      <c r="T110" t="s">
        <v>738</v>
      </c>
      <c r="U110" t="b">
        <v>1</v>
      </c>
      <c r="V110" t="b">
        <v>1</v>
      </c>
      <c r="W110" t="b">
        <v>1</v>
      </c>
      <c r="Y110" s="38"/>
      <c r="AS110"/>
    </row>
    <row r="111" spans="1:45" x14ac:dyDescent="0.3">
      <c r="A111">
        <v>461</v>
      </c>
      <c r="B111" t="s">
        <v>71</v>
      </c>
      <c r="E111" t="s">
        <v>863</v>
      </c>
      <c r="F111" t="s">
        <v>17</v>
      </c>
      <c r="G111" s="39">
        <v>45586.916666666664</v>
      </c>
      <c r="H111">
        <v>10</v>
      </c>
      <c r="I111">
        <v>2024</v>
      </c>
      <c r="J111" s="38"/>
      <c r="K111" t="s">
        <v>125</v>
      </c>
      <c r="L111" t="s">
        <v>126</v>
      </c>
      <c r="M111" t="s">
        <v>355</v>
      </c>
      <c r="N111" t="s">
        <v>159</v>
      </c>
      <c r="O111"/>
      <c r="P111" t="s">
        <v>83</v>
      </c>
      <c r="Q111" t="s">
        <v>356</v>
      </c>
      <c r="R111" t="s">
        <v>12</v>
      </c>
      <c r="S111" t="s">
        <v>32</v>
      </c>
      <c r="T111" t="s">
        <v>727</v>
      </c>
      <c r="U111" t="b">
        <v>1</v>
      </c>
      <c r="V111" t="b">
        <v>1</v>
      </c>
      <c r="W111" t="b">
        <v>1</v>
      </c>
      <c r="Y111" s="38"/>
      <c r="AS111"/>
    </row>
    <row r="112" spans="1:45" x14ac:dyDescent="0.3">
      <c r="A112">
        <v>460</v>
      </c>
      <c r="B112" t="s">
        <v>71</v>
      </c>
      <c r="E112" t="s">
        <v>766</v>
      </c>
      <c r="F112" t="s">
        <v>479</v>
      </c>
      <c r="G112" s="39">
        <v>45585.916666666664</v>
      </c>
      <c r="H112">
        <v>10</v>
      </c>
      <c r="I112">
        <v>2024</v>
      </c>
      <c r="J112" s="38"/>
      <c r="K112" t="s">
        <v>151</v>
      </c>
      <c r="L112" t="s">
        <v>288</v>
      </c>
      <c r="M112" t="s">
        <v>85</v>
      </c>
      <c r="N112" t="s">
        <v>159</v>
      </c>
      <c r="O112"/>
      <c r="P112" t="s">
        <v>83</v>
      </c>
      <c r="Q112" t="s">
        <v>310</v>
      </c>
      <c r="R112" t="s">
        <v>87</v>
      </c>
      <c r="S112" t="s">
        <v>32</v>
      </c>
      <c r="T112" t="s">
        <v>738</v>
      </c>
      <c r="U112" t="b">
        <v>1</v>
      </c>
      <c r="V112" t="b">
        <v>1</v>
      </c>
      <c r="W112" t="b">
        <v>0</v>
      </c>
      <c r="Y112" s="38"/>
      <c r="AS112"/>
    </row>
    <row r="113" spans="1:45" x14ac:dyDescent="0.3">
      <c r="A113">
        <v>459</v>
      </c>
      <c r="B113" t="s">
        <v>77</v>
      </c>
      <c r="E113" t="s">
        <v>862</v>
      </c>
      <c r="F113" t="s">
        <v>479</v>
      </c>
      <c r="G113" s="39">
        <v>45592.958333333336</v>
      </c>
      <c r="H113">
        <v>10</v>
      </c>
      <c r="I113">
        <v>2024</v>
      </c>
      <c r="J113" s="38"/>
      <c r="K113" t="s">
        <v>118</v>
      </c>
      <c r="L113" t="s">
        <v>119</v>
      </c>
      <c r="M113" t="s">
        <v>120</v>
      </c>
      <c r="N113" t="s">
        <v>159</v>
      </c>
      <c r="O113"/>
      <c r="P113" t="s">
        <v>153</v>
      </c>
      <c r="Q113" t="s">
        <v>263</v>
      </c>
      <c r="R113" t="s">
        <v>87</v>
      </c>
      <c r="S113" t="s">
        <v>32</v>
      </c>
      <c r="T113" t="s">
        <v>819</v>
      </c>
      <c r="U113" t="b">
        <v>1</v>
      </c>
      <c r="V113" t="b">
        <v>1</v>
      </c>
      <c r="W113" t="b">
        <v>0</v>
      </c>
      <c r="Y113" s="38"/>
      <c r="AS113"/>
    </row>
    <row r="114" spans="1:45" x14ac:dyDescent="0.3">
      <c r="A114">
        <v>458</v>
      </c>
      <c r="B114" t="s">
        <v>71</v>
      </c>
      <c r="E114" t="s">
        <v>768</v>
      </c>
      <c r="F114" t="s">
        <v>17</v>
      </c>
      <c r="G114" s="39">
        <v>45585.916666666664</v>
      </c>
      <c r="H114">
        <v>10</v>
      </c>
      <c r="I114">
        <v>2024</v>
      </c>
      <c r="J114" s="38"/>
      <c r="K114" t="s">
        <v>110</v>
      </c>
      <c r="L114" t="s">
        <v>401</v>
      </c>
      <c r="M114" t="s">
        <v>111</v>
      </c>
      <c r="N114" t="s">
        <v>165</v>
      </c>
      <c r="O114"/>
      <c r="P114" t="s">
        <v>101</v>
      </c>
      <c r="Q114" t="s">
        <v>415</v>
      </c>
      <c r="R114" t="s">
        <v>416</v>
      </c>
      <c r="S114" t="s">
        <v>715</v>
      </c>
      <c r="T114" t="s">
        <v>756</v>
      </c>
      <c r="U114" t="b">
        <v>1</v>
      </c>
      <c r="V114" t="b">
        <v>1</v>
      </c>
      <c r="W114" t="b">
        <v>1</v>
      </c>
      <c r="Y114" s="38"/>
      <c r="AS114"/>
    </row>
    <row r="115" spans="1:45" x14ac:dyDescent="0.3">
      <c r="A115">
        <v>457</v>
      </c>
      <c r="B115" t="s">
        <v>71</v>
      </c>
      <c r="E115" t="s">
        <v>773</v>
      </c>
      <c r="F115" t="s">
        <v>17</v>
      </c>
      <c r="G115" s="39">
        <v>45587.916666666664</v>
      </c>
      <c r="H115">
        <v>10</v>
      </c>
      <c r="I115">
        <v>2024</v>
      </c>
      <c r="J115" s="38"/>
      <c r="K115" t="s">
        <v>32</v>
      </c>
      <c r="L115" t="s">
        <v>480</v>
      </c>
      <c r="M115" t="s">
        <v>136</v>
      </c>
      <c r="N115" t="s">
        <v>159</v>
      </c>
      <c r="O115"/>
      <c r="P115" t="s">
        <v>83</v>
      </c>
      <c r="Q115" t="s">
        <v>481</v>
      </c>
      <c r="R115" t="s">
        <v>482</v>
      </c>
      <c r="S115" t="s">
        <v>32</v>
      </c>
      <c r="T115" t="s">
        <v>738</v>
      </c>
      <c r="U115" t="b">
        <v>1</v>
      </c>
      <c r="V115" t="b">
        <v>1</v>
      </c>
      <c r="W115" t="b">
        <v>0</v>
      </c>
      <c r="Y115" s="38"/>
      <c r="AS115"/>
    </row>
    <row r="116" spans="1:45" x14ac:dyDescent="0.3">
      <c r="A116">
        <v>456</v>
      </c>
      <c r="B116" t="s">
        <v>71</v>
      </c>
      <c r="E116" t="s">
        <v>769</v>
      </c>
      <c r="F116" t="s">
        <v>17</v>
      </c>
      <c r="G116" s="39">
        <v>45582.916666666664</v>
      </c>
      <c r="H116">
        <v>10</v>
      </c>
      <c r="I116">
        <v>2024</v>
      </c>
      <c r="J116" s="38"/>
      <c r="K116" t="s">
        <v>140</v>
      </c>
      <c r="L116" t="s">
        <v>141</v>
      </c>
      <c r="M116" t="s">
        <v>770</v>
      </c>
      <c r="N116" t="s">
        <v>159</v>
      </c>
      <c r="O116"/>
      <c r="P116" t="s">
        <v>83</v>
      </c>
      <c r="Q116" t="s">
        <v>15</v>
      </c>
      <c r="R116" t="s">
        <v>7</v>
      </c>
      <c r="S116" t="s">
        <v>32</v>
      </c>
      <c r="T116" t="s">
        <v>738</v>
      </c>
      <c r="U116" t="b">
        <v>1</v>
      </c>
      <c r="V116" t="b">
        <v>1</v>
      </c>
      <c r="W116" t="b">
        <v>1</v>
      </c>
      <c r="Y116" s="38"/>
      <c r="AS116"/>
    </row>
    <row r="117" spans="1:45" x14ac:dyDescent="0.3">
      <c r="A117">
        <v>455</v>
      </c>
      <c r="B117" t="s">
        <v>71</v>
      </c>
      <c r="E117" t="s">
        <v>774</v>
      </c>
      <c r="F117" t="s">
        <v>17</v>
      </c>
      <c r="G117" s="39">
        <v>45584.916666666664</v>
      </c>
      <c r="H117">
        <v>10</v>
      </c>
      <c r="I117">
        <v>2024</v>
      </c>
      <c r="J117" s="38"/>
      <c r="K117" t="s">
        <v>140</v>
      </c>
      <c r="L117" t="s">
        <v>141</v>
      </c>
      <c r="M117" t="s">
        <v>142</v>
      </c>
      <c r="N117" t="s">
        <v>165</v>
      </c>
      <c r="O117"/>
      <c r="P117" t="s">
        <v>101</v>
      </c>
      <c r="Q117" t="s">
        <v>143</v>
      </c>
      <c r="R117" t="s">
        <v>144</v>
      </c>
      <c r="S117" t="s">
        <v>32</v>
      </c>
      <c r="T117" t="s">
        <v>738</v>
      </c>
      <c r="U117" t="b">
        <v>1</v>
      </c>
      <c r="V117" t="b">
        <v>1</v>
      </c>
      <c r="W117" t="b">
        <v>0</v>
      </c>
      <c r="Y117" s="38"/>
      <c r="AS117"/>
    </row>
    <row r="118" spans="1:45" x14ac:dyDescent="0.3">
      <c r="A118">
        <v>454</v>
      </c>
      <c r="B118" t="s">
        <v>71</v>
      </c>
      <c r="E118" t="s">
        <v>771</v>
      </c>
      <c r="F118" t="s">
        <v>17</v>
      </c>
      <c r="G118" s="39">
        <v>45592.958333333336</v>
      </c>
      <c r="H118">
        <v>10</v>
      </c>
      <c r="I118">
        <v>2024</v>
      </c>
      <c r="J118" s="38"/>
      <c r="K118" t="s">
        <v>146</v>
      </c>
      <c r="L118" t="s">
        <v>575</v>
      </c>
      <c r="M118" t="s">
        <v>14</v>
      </c>
      <c r="N118" t="s">
        <v>72</v>
      </c>
      <c r="O118"/>
      <c r="P118" t="s">
        <v>34</v>
      </c>
      <c r="Q118" t="s">
        <v>577</v>
      </c>
      <c r="R118" t="s">
        <v>12</v>
      </c>
      <c r="S118" t="s">
        <v>32</v>
      </c>
      <c r="T118" t="s">
        <v>738</v>
      </c>
      <c r="U118" t="b">
        <v>1</v>
      </c>
      <c r="V118" t="b">
        <v>1</v>
      </c>
      <c r="W118" t="b">
        <v>0</v>
      </c>
      <c r="Y118" s="38"/>
      <c r="AS118"/>
    </row>
    <row r="119" spans="1:45" x14ac:dyDescent="0.3">
      <c r="A119">
        <v>453</v>
      </c>
      <c r="B119" t="s">
        <v>71</v>
      </c>
      <c r="E119" t="s">
        <v>767</v>
      </c>
      <c r="F119" t="s">
        <v>17</v>
      </c>
      <c r="G119" s="39">
        <v>45578.916666666664</v>
      </c>
      <c r="H119">
        <v>10</v>
      </c>
      <c r="I119">
        <v>2024</v>
      </c>
      <c r="J119" s="38"/>
      <c r="K119" t="s">
        <v>133</v>
      </c>
      <c r="L119" t="s">
        <v>134</v>
      </c>
      <c r="M119" t="s">
        <v>123</v>
      </c>
      <c r="N119" t="s">
        <v>72</v>
      </c>
      <c r="O119"/>
      <c r="P119" t="s">
        <v>34</v>
      </c>
      <c r="Q119" t="s">
        <v>135</v>
      </c>
      <c r="R119" t="s">
        <v>7</v>
      </c>
      <c r="S119" t="s">
        <v>32</v>
      </c>
      <c r="T119" t="s">
        <v>738</v>
      </c>
      <c r="U119" t="b">
        <v>1</v>
      </c>
      <c r="V119" t="b">
        <v>1</v>
      </c>
      <c r="W119" t="b">
        <v>0</v>
      </c>
      <c r="Y119" s="38"/>
      <c r="AS119"/>
    </row>
    <row r="120" spans="1:45" x14ac:dyDescent="0.3">
      <c r="A120">
        <v>452</v>
      </c>
      <c r="B120" t="s">
        <v>71</v>
      </c>
      <c r="E120" t="s">
        <v>748</v>
      </c>
      <c r="F120" t="s">
        <v>17</v>
      </c>
      <c r="G120" s="39">
        <v>45569.916666666664</v>
      </c>
      <c r="H120">
        <v>10</v>
      </c>
      <c r="I120">
        <v>2024</v>
      </c>
      <c r="J120" s="38"/>
      <c r="K120" t="s">
        <v>178</v>
      </c>
      <c r="L120" t="s">
        <v>80</v>
      </c>
      <c r="M120" t="s">
        <v>102</v>
      </c>
      <c r="N120" t="s">
        <v>72</v>
      </c>
      <c r="O120"/>
      <c r="P120" t="s">
        <v>34</v>
      </c>
      <c r="Q120" t="s">
        <v>749</v>
      </c>
      <c r="R120" t="s">
        <v>31</v>
      </c>
      <c r="S120" t="s">
        <v>32</v>
      </c>
      <c r="T120" t="s">
        <v>738</v>
      </c>
      <c r="U120" t="b">
        <v>1</v>
      </c>
      <c r="V120" t="b">
        <v>1</v>
      </c>
      <c r="W120" t="b">
        <v>1</v>
      </c>
      <c r="Y120" s="38"/>
      <c r="AS120"/>
    </row>
    <row r="121" spans="1:45" x14ac:dyDescent="0.3">
      <c r="A121">
        <v>451</v>
      </c>
      <c r="B121" t="s">
        <v>200</v>
      </c>
      <c r="E121" t="s">
        <v>743</v>
      </c>
      <c r="F121" t="s">
        <v>17</v>
      </c>
      <c r="G121" s="39">
        <v>45569.916666666664</v>
      </c>
      <c r="H121">
        <v>10</v>
      </c>
      <c r="I121">
        <v>2024</v>
      </c>
      <c r="J121" s="38"/>
      <c r="K121" t="s">
        <v>178</v>
      </c>
      <c r="L121" t="s">
        <v>80</v>
      </c>
      <c r="M121" t="s">
        <v>14</v>
      </c>
      <c r="N121" t="s">
        <v>72</v>
      </c>
      <c r="O121"/>
      <c r="P121" t="s">
        <v>199</v>
      </c>
      <c r="Q121" t="s">
        <v>135</v>
      </c>
      <c r="R121" t="s">
        <v>31</v>
      </c>
      <c r="S121" t="s">
        <v>242</v>
      </c>
      <c r="U121" t="b">
        <v>0</v>
      </c>
      <c r="V121" t="b">
        <v>1</v>
      </c>
      <c r="W121" t="b">
        <v>1</v>
      </c>
      <c r="Y121" s="38"/>
      <c r="AS121"/>
    </row>
    <row r="122" spans="1:45" x14ac:dyDescent="0.3">
      <c r="A122">
        <v>450</v>
      </c>
      <c r="B122" t="s">
        <v>171</v>
      </c>
      <c r="E122" t="s">
        <v>761</v>
      </c>
      <c r="F122" t="s">
        <v>17</v>
      </c>
      <c r="G122" s="39">
        <v>45577.916666666664</v>
      </c>
      <c r="H122">
        <v>10</v>
      </c>
      <c r="I122">
        <v>2024</v>
      </c>
      <c r="J122" s="38"/>
      <c r="K122" t="s">
        <v>189</v>
      </c>
      <c r="L122" t="s">
        <v>190</v>
      </c>
      <c r="M122" t="s">
        <v>178</v>
      </c>
      <c r="N122" t="s">
        <v>72</v>
      </c>
      <c r="O122"/>
      <c r="P122" t="s">
        <v>170</v>
      </c>
      <c r="Q122" t="s">
        <v>60</v>
      </c>
      <c r="R122" t="s">
        <v>31</v>
      </c>
      <c r="S122" t="s">
        <v>715</v>
      </c>
      <c r="T122" t="s">
        <v>729</v>
      </c>
      <c r="U122" t="b">
        <v>0</v>
      </c>
      <c r="V122" t="b">
        <v>1</v>
      </c>
      <c r="W122" t="b">
        <v>1</v>
      </c>
      <c r="Y122" s="38"/>
      <c r="AS122"/>
    </row>
    <row r="123" spans="1:45" x14ac:dyDescent="0.3">
      <c r="A123">
        <v>449</v>
      </c>
      <c r="B123" t="s">
        <v>171</v>
      </c>
      <c r="E123" t="s">
        <v>741</v>
      </c>
      <c r="F123" t="s">
        <v>711</v>
      </c>
      <c r="G123" s="39">
        <v>45576.916666666664</v>
      </c>
      <c r="H123">
        <v>10</v>
      </c>
      <c r="I123">
        <v>2024</v>
      </c>
      <c r="J123" s="38"/>
      <c r="K123" t="s">
        <v>307</v>
      </c>
      <c r="L123" t="s">
        <v>308</v>
      </c>
      <c r="M123" t="s">
        <v>309</v>
      </c>
      <c r="N123" t="s">
        <v>159</v>
      </c>
      <c r="O123"/>
      <c r="P123" t="s">
        <v>172</v>
      </c>
      <c r="Q123" t="s">
        <v>310</v>
      </c>
      <c r="R123" t="s">
        <v>87</v>
      </c>
      <c r="S123" t="s">
        <v>32</v>
      </c>
      <c r="T123" t="s">
        <v>727</v>
      </c>
      <c r="U123" t="b">
        <v>0</v>
      </c>
      <c r="V123" t="b">
        <v>1</v>
      </c>
      <c r="W123" t="b">
        <v>1</v>
      </c>
      <c r="Y123" s="38"/>
      <c r="AS123"/>
    </row>
    <row r="124" spans="1:45" x14ac:dyDescent="0.3">
      <c r="A124">
        <v>448</v>
      </c>
      <c r="B124" t="s">
        <v>303</v>
      </c>
      <c r="E124" t="s">
        <v>765</v>
      </c>
      <c r="F124" t="s">
        <v>479</v>
      </c>
      <c r="G124" s="39">
        <v>45578.916666666664</v>
      </c>
      <c r="H124">
        <v>10</v>
      </c>
      <c r="I124">
        <v>2024</v>
      </c>
      <c r="J124" s="38"/>
      <c r="K124" t="s">
        <v>700</v>
      </c>
      <c r="L124" t="s">
        <v>701</v>
      </c>
      <c r="M124" t="s">
        <v>702</v>
      </c>
      <c r="N124" t="s">
        <v>269</v>
      </c>
      <c r="O124"/>
      <c r="P124" t="s">
        <v>302</v>
      </c>
      <c r="Q124" t="s">
        <v>266</v>
      </c>
      <c r="R124" t="s">
        <v>267</v>
      </c>
      <c r="S124" t="s">
        <v>715</v>
      </c>
      <c r="T124" t="s">
        <v>729</v>
      </c>
      <c r="U124" t="b">
        <v>0</v>
      </c>
      <c r="V124" t="b">
        <v>1</v>
      </c>
      <c r="W124" t="b">
        <v>1</v>
      </c>
      <c r="Y124" s="38"/>
      <c r="AS124"/>
    </row>
    <row r="125" spans="1:45" x14ac:dyDescent="0.3">
      <c r="A125">
        <v>447</v>
      </c>
      <c r="B125" t="s">
        <v>156</v>
      </c>
      <c r="E125" t="s">
        <v>861</v>
      </c>
      <c r="F125" t="s">
        <v>17</v>
      </c>
      <c r="G125" s="39">
        <v>45569.916666666664</v>
      </c>
      <c r="H125">
        <v>10</v>
      </c>
      <c r="I125">
        <v>2024</v>
      </c>
      <c r="J125" s="38"/>
      <c r="K125" t="s">
        <v>178</v>
      </c>
      <c r="L125" t="s">
        <v>80</v>
      </c>
      <c r="M125" t="s">
        <v>102</v>
      </c>
      <c r="N125" t="s">
        <v>72</v>
      </c>
      <c r="O125"/>
      <c r="P125" t="s">
        <v>169</v>
      </c>
      <c r="Q125" t="s">
        <v>749</v>
      </c>
      <c r="R125" t="s">
        <v>31</v>
      </c>
      <c r="S125" t="s">
        <v>32</v>
      </c>
      <c r="T125" t="s">
        <v>738</v>
      </c>
      <c r="U125" t="b">
        <v>1</v>
      </c>
      <c r="V125" t="b">
        <v>1</v>
      </c>
      <c r="W125" t="b">
        <v>1</v>
      </c>
      <c r="Y125" s="38"/>
      <c r="AS125"/>
    </row>
    <row r="126" spans="1:45" x14ac:dyDescent="0.3">
      <c r="A126">
        <v>446</v>
      </c>
      <c r="B126" t="s">
        <v>71</v>
      </c>
      <c r="E126" t="s">
        <v>764</v>
      </c>
      <c r="F126" t="s">
        <v>711</v>
      </c>
      <c r="G126" s="39">
        <v>45577.916666666664</v>
      </c>
      <c r="H126">
        <v>10</v>
      </c>
      <c r="I126">
        <v>2024</v>
      </c>
      <c r="J126" s="38"/>
      <c r="K126" t="s">
        <v>113</v>
      </c>
      <c r="L126" t="s">
        <v>114</v>
      </c>
      <c r="M126" t="s">
        <v>115</v>
      </c>
      <c r="N126" t="s">
        <v>177</v>
      </c>
      <c r="O126"/>
      <c r="P126" t="s">
        <v>107</v>
      </c>
      <c r="Q126" t="s">
        <v>116</v>
      </c>
      <c r="R126" t="s">
        <v>117</v>
      </c>
      <c r="S126" t="s">
        <v>32</v>
      </c>
      <c r="T126" t="s">
        <v>738</v>
      </c>
      <c r="U126" t="b">
        <v>1</v>
      </c>
      <c r="V126" t="b">
        <v>1</v>
      </c>
      <c r="W126" t="b">
        <v>1</v>
      </c>
      <c r="Y126" s="38"/>
      <c r="AS126"/>
    </row>
    <row r="127" spans="1:45" x14ac:dyDescent="0.3">
      <c r="A127">
        <v>445</v>
      </c>
      <c r="B127" t="s">
        <v>158</v>
      </c>
      <c r="E127" t="s">
        <v>744</v>
      </c>
      <c r="F127" t="s">
        <v>17</v>
      </c>
      <c r="G127" s="39">
        <v>45569.916666666664</v>
      </c>
      <c r="H127">
        <v>10</v>
      </c>
      <c r="I127">
        <v>2024</v>
      </c>
      <c r="J127" s="38"/>
      <c r="K127" t="s">
        <v>178</v>
      </c>
      <c r="L127" t="s">
        <v>80</v>
      </c>
      <c r="M127" t="s">
        <v>745</v>
      </c>
      <c r="N127" t="s">
        <v>72</v>
      </c>
      <c r="O127"/>
      <c r="P127" t="s">
        <v>157</v>
      </c>
      <c r="Q127" t="s">
        <v>746</v>
      </c>
      <c r="R127" t="s">
        <v>31</v>
      </c>
      <c r="S127" t="s">
        <v>32</v>
      </c>
      <c r="T127" t="s">
        <v>727</v>
      </c>
      <c r="U127" t="b">
        <v>0</v>
      </c>
      <c r="V127" t="b">
        <v>1</v>
      </c>
      <c r="W127" t="b">
        <v>1</v>
      </c>
      <c r="Y127" s="38"/>
      <c r="AS127"/>
    </row>
    <row r="128" spans="1:45" x14ac:dyDescent="0.3">
      <c r="A128">
        <v>444</v>
      </c>
      <c r="B128" t="s">
        <v>71</v>
      </c>
      <c r="E128" t="s">
        <v>860</v>
      </c>
      <c r="F128" t="s">
        <v>17</v>
      </c>
      <c r="G128" s="39">
        <v>45586.916666666664</v>
      </c>
      <c r="H128">
        <v>10</v>
      </c>
      <c r="I128">
        <v>2024</v>
      </c>
      <c r="J128" s="38"/>
      <c r="K128" t="s">
        <v>125</v>
      </c>
      <c r="L128" t="s">
        <v>126</v>
      </c>
      <c r="M128" t="s">
        <v>648</v>
      </c>
      <c r="N128" t="s">
        <v>159</v>
      </c>
      <c r="O128"/>
      <c r="P128" t="s">
        <v>83</v>
      </c>
      <c r="Q128" t="s">
        <v>481</v>
      </c>
      <c r="R128" t="s">
        <v>87</v>
      </c>
      <c r="S128" t="s">
        <v>32</v>
      </c>
      <c r="T128" t="s">
        <v>738</v>
      </c>
      <c r="U128" t="b">
        <v>1</v>
      </c>
      <c r="V128" t="b">
        <v>1</v>
      </c>
      <c r="W128" t="b">
        <v>1</v>
      </c>
      <c r="Y128" s="38"/>
      <c r="AS128"/>
    </row>
    <row r="129" spans="1:45" x14ac:dyDescent="0.3">
      <c r="A129">
        <v>443</v>
      </c>
      <c r="B129" t="s">
        <v>200</v>
      </c>
      <c r="E129" t="s">
        <v>747</v>
      </c>
      <c r="F129" t="s">
        <v>17</v>
      </c>
      <c r="G129" s="39">
        <v>45569.916666666664</v>
      </c>
      <c r="H129">
        <v>10</v>
      </c>
      <c r="I129">
        <v>2024</v>
      </c>
      <c r="J129" s="38"/>
      <c r="K129" t="s">
        <v>178</v>
      </c>
      <c r="L129" t="s">
        <v>80</v>
      </c>
      <c r="M129" t="s">
        <v>745</v>
      </c>
      <c r="N129" t="s">
        <v>72</v>
      </c>
      <c r="O129"/>
      <c r="P129" t="s">
        <v>199</v>
      </c>
      <c r="Q129" t="s">
        <v>746</v>
      </c>
      <c r="R129" t="s">
        <v>31</v>
      </c>
      <c r="S129" t="s">
        <v>242</v>
      </c>
      <c r="U129" t="b">
        <v>0</v>
      </c>
      <c r="V129" t="b">
        <v>1</v>
      </c>
      <c r="W129" t="b">
        <v>1</v>
      </c>
      <c r="Y129" s="38"/>
      <c r="AS129"/>
    </row>
    <row r="130" spans="1:45" x14ac:dyDescent="0.3">
      <c r="A130">
        <v>442</v>
      </c>
      <c r="B130" t="s">
        <v>303</v>
      </c>
      <c r="E130" t="s">
        <v>760</v>
      </c>
      <c r="F130" t="s">
        <v>17</v>
      </c>
      <c r="G130" s="39">
        <v>45577.916666666664</v>
      </c>
      <c r="H130">
        <v>10</v>
      </c>
      <c r="I130">
        <v>2024</v>
      </c>
      <c r="J130" s="38"/>
      <c r="K130" t="s">
        <v>700</v>
      </c>
      <c r="L130" t="s">
        <v>701</v>
      </c>
      <c r="M130" t="s">
        <v>702</v>
      </c>
      <c r="N130" t="s">
        <v>269</v>
      </c>
      <c r="O130"/>
      <c r="P130" t="s">
        <v>302</v>
      </c>
      <c r="Q130" t="s">
        <v>266</v>
      </c>
      <c r="R130" t="s">
        <v>267</v>
      </c>
      <c r="S130" t="s">
        <v>715</v>
      </c>
      <c r="T130" t="s">
        <v>729</v>
      </c>
      <c r="U130" t="b">
        <v>0</v>
      </c>
      <c r="V130" t="b">
        <v>1</v>
      </c>
      <c r="W130" t="b">
        <v>0</v>
      </c>
      <c r="Y130" s="38"/>
      <c r="AS130"/>
    </row>
    <row r="131" spans="1:45" x14ac:dyDescent="0.3">
      <c r="A131">
        <v>441</v>
      </c>
      <c r="B131" t="s">
        <v>77</v>
      </c>
      <c r="E131" t="s">
        <v>753</v>
      </c>
      <c r="F131" t="s">
        <v>17</v>
      </c>
      <c r="G131" s="39">
        <v>45569.916666666664</v>
      </c>
      <c r="H131">
        <v>10</v>
      </c>
      <c r="I131">
        <v>2024</v>
      </c>
      <c r="J131" s="38"/>
      <c r="K131" t="s">
        <v>178</v>
      </c>
      <c r="L131" t="s">
        <v>80</v>
      </c>
      <c r="M131" t="s">
        <v>102</v>
      </c>
      <c r="N131" t="s">
        <v>72</v>
      </c>
      <c r="O131"/>
      <c r="P131" t="s">
        <v>228</v>
      </c>
      <c r="Q131" t="s">
        <v>749</v>
      </c>
      <c r="R131" t="s">
        <v>31</v>
      </c>
      <c r="S131" t="s">
        <v>32</v>
      </c>
      <c r="T131" t="s">
        <v>738</v>
      </c>
      <c r="U131" t="b">
        <v>1</v>
      </c>
      <c r="V131" t="b">
        <v>1</v>
      </c>
      <c r="W131" t="b">
        <v>1</v>
      </c>
      <c r="Y131" s="38"/>
      <c r="AS131"/>
    </row>
    <row r="132" spans="1:45" x14ac:dyDescent="0.3">
      <c r="A132">
        <v>440</v>
      </c>
      <c r="B132" t="s">
        <v>77</v>
      </c>
      <c r="E132" t="s">
        <v>859</v>
      </c>
      <c r="F132" t="s">
        <v>17</v>
      </c>
      <c r="G132" s="39">
        <v>45592.958333333336</v>
      </c>
      <c r="H132">
        <v>10</v>
      </c>
      <c r="I132">
        <v>2024</v>
      </c>
      <c r="J132" s="38"/>
      <c r="K132" t="s">
        <v>140</v>
      </c>
      <c r="L132" t="s">
        <v>141</v>
      </c>
      <c r="M132" t="s">
        <v>152</v>
      </c>
      <c r="N132" t="s">
        <v>72</v>
      </c>
      <c r="O132"/>
      <c r="P132" t="s">
        <v>228</v>
      </c>
      <c r="Q132" t="s">
        <v>60</v>
      </c>
      <c r="R132" t="s">
        <v>7</v>
      </c>
      <c r="S132" t="s">
        <v>32</v>
      </c>
      <c r="T132" t="s">
        <v>738</v>
      </c>
      <c r="U132" t="b">
        <v>1</v>
      </c>
      <c r="V132" t="b">
        <v>1</v>
      </c>
      <c r="W132" t="b">
        <v>0</v>
      </c>
      <c r="Y132" s="38"/>
      <c r="AS132"/>
    </row>
    <row r="133" spans="1:45" x14ac:dyDescent="0.3">
      <c r="A133">
        <v>439</v>
      </c>
      <c r="B133" t="s">
        <v>301</v>
      </c>
      <c r="E133" t="s">
        <v>742</v>
      </c>
      <c r="F133" t="s">
        <v>17</v>
      </c>
      <c r="G133" s="39">
        <v>45576.916666666664</v>
      </c>
      <c r="H133">
        <v>10</v>
      </c>
      <c r="I133">
        <v>2024</v>
      </c>
      <c r="J133" s="38"/>
      <c r="K133" t="s">
        <v>178</v>
      </c>
      <c r="L133" t="s">
        <v>80</v>
      </c>
      <c r="M133" t="s">
        <v>123</v>
      </c>
      <c r="N133" t="s">
        <v>269</v>
      </c>
      <c r="O133"/>
      <c r="P133" t="s">
        <v>710</v>
      </c>
      <c r="Q133" t="s">
        <v>266</v>
      </c>
      <c r="R133" t="s">
        <v>267</v>
      </c>
      <c r="S133" t="s">
        <v>32</v>
      </c>
      <c r="T133" t="s">
        <v>738</v>
      </c>
      <c r="U133" t="b">
        <v>1</v>
      </c>
      <c r="V133" t="b">
        <v>1</v>
      </c>
      <c r="W133" t="b">
        <v>1</v>
      </c>
      <c r="Y133" s="38"/>
      <c r="AS133"/>
    </row>
    <row r="134" spans="1:45" x14ac:dyDescent="0.3">
      <c r="A134">
        <v>438</v>
      </c>
      <c r="B134" t="s">
        <v>71</v>
      </c>
      <c r="E134" t="s">
        <v>763</v>
      </c>
      <c r="F134" t="s">
        <v>711</v>
      </c>
      <c r="G134" s="39">
        <v>45577.916666666664</v>
      </c>
      <c r="H134">
        <v>10</v>
      </c>
      <c r="I134">
        <v>2024</v>
      </c>
      <c r="J134" s="38"/>
      <c r="K134" t="s">
        <v>178</v>
      </c>
      <c r="L134" t="s">
        <v>80</v>
      </c>
      <c r="M134" t="s">
        <v>745</v>
      </c>
      <c r="N134" t="s">
        <v>72</v>
      </c>
      <c r="O134"/>
      <c r="P134" t="s">
        <v>34</v>
      </c>
      <c r="Q134" t="s">
        <v>746</v>
      </c>
      <c r="R134" t="s">
        <v>31</v>
      </c>
      <c r="S134" t="s">
        <v>32</v>
      </c>
      <c r="T134" t="s">
        <v>738</v>
      </c>
      <c r="U134" t="b">
        <v>1</v>
      </c>
      <c r="V134" t="b">
        <v>1</v>
      </c>
      <c r="W134" t="b">
        <v>0</v>
      </c>
      <c r="Y134" s="38"/>
      <c r="AS134"/>
    </row>
    <row r="135" spans="1:45" x14ac:dyDescent="0.3">
      <c r="A135">
        <v>437</v>
      </c>
      <c r="B135" t="s">
        <v>71</v>
      </c>
      <c r="E135" t="s">
        <v>732</v>
      </c>
      <c r="F135" t="s">
        <v>17</v>
      </c>
      <c r="G135" s="39">
        <v>45569.916666666664</v>
      </c>
      <c r="H135">
        <v>10</v>
      </c>
      <c r="I135">
        <v>2024</v>
      </c>
      <c r="J135" s="38"/>
      <c r="K135" t="s">
        <v>178</v>
      </c>
      <c r="L135" t="s">
        <v>80</v>
      </c>
      <c r="M135" t="s">
        <v>733</v>
      </c>
      <c r="N135" t="s">
        <v>159</v>
      </c>
      <c r="O135"/>
      <c r="P135" t="s">
        <v>83</v>
      </c>
      <c r="Q135" t="s">
        <v>481</v>
      </c>
      <c r="R135" t="s">
        <v>31</v>
      </c>
      <c r="S135" t="s">
        <v>33</v>
      </c>
      <c r="T135" t="s">
        <v>734</v>
      </c>
      <c r="U135" t="b">
        <v>1</v>
      </c>
      <c r="V135" t="b">
        <v>1</v>
      </c>
      <c r="W135" t="b">
        <v>1</v>
      </c>
      <c r="Y135" s="38"/>
      <c r="AS135"/>
    </row>
    <row r="136" spans="1:45" x14ac:dyDescent="0.3">
      <c r="A136">
        <v>436</v>
      </c>
      <c r="B136" t="s">
        <v>71</v>
      </c>
      <c r="E136" t="s">
        <v>858</v>
      </c>
      <c r="F136" t="s">
        <v>17</v>
      </c>
      <c r="G136" s="39">
        <v>45586.916666666664</v>
      </c>
      <c r="H136">
        <v>10</v>
      </c>
      <c r="I136">
        <v>2024</v>
      </c>
      <c r="J136" s="38"/>
      <c r="K136" t="s">
        <v>125</v>
      </c>
      <c r="L136" t="s">
        <v>126</v>
      </c>
      <c r="M136" t="s">
        <v>378</v>
      </c>
      <c r="N136" t="s">
        <v>159</v>
      </c>
      <c r="O136"/>
      <c r="P136" t="s">
        <v>83</v>
      </c>
      <c r="Q136" t="s">
        <v>580</v>
      </c>
      <c r="R136" t="s">
        <v>380</v>
      </c>
      <c r="S136" t="s">
        <v>32</v>
      </c>
      <c r="T136" t="s">
        <v>738</v>
      </c>
      <c r="U136" t="b">
        <v>1</v>
      </c>
      <c r="V136" t="b">
        <v>1</v>
      </c>
      <c r="W136" t="b">
        <v>1</v>
      </c>
      <c r="Y136" s="38"/>
      <c r="AS136"/>
    </row>
    <row r="137" spans="1:45" x14ac:dyDescent="0.3">
      <c r="A137">
        <v>435</v>
      </c>
      <c r="B137" t="s">
        <v>71</v>
      </c>
      <c r="E137" t="s">
        <v>737</v>
      </c>
      <c r="F137" t="s">
        <v>17</v>
      </c>
      <c r="G137" s="39">
        <v>45574.916666666664</v>
      </c>
      <c r="H137">
        <v>10</v>
      </c>
      <c r="I137">
        <v>2024</v>
      </c>
      <c r="J137" s="38"/>
      <c r="K137" t="s">
        <v>110</v>
      </c>
      <c r="L137" t="s">
        <v>401</v>
      </c>
      <c r="M137" t="s">
        <v>112</v>
      </c>
      <c r="N137" t="s">
        <v>159</v>
      </c>
      <c r="O137"/>
      <c r="P137" t="s">
        <v>83</v>
      </c>
      <c r="Q137" t="s">
        <v>585</v>
      </c>
      <c r="R137" t="s">
        <v>403</v>
      </c>
      <c r="S137" t="s">
        <v>32</v>
      </c>
      <c r="T137" t="s">
        <v>738</v>
      </c>
      <c r="U137" t="b">
        <v>1</v>
      </c>
      <c r="V137" t="b">
        <v>1</v>
      </c>
      <c r="W137" t="b">
        <v>0</v>
      </c>
      <c r="Y137" s="38"/>
      <c r="AS137"/>
    </row>
    <row r="138" spans="1:45" x14ac:dyDescent="0.3">
      <c r="A138">
        <v>434</v>
      </c>
      <c r="B138" t="s">
        <v>71</v>
      </c>
      <c r="E138" t="s">
        <v>718</v>
      </c>
      <c r="F138" t="s">
        <v>711</v>
      </c>
      <c r="G138" s="39">
        <v>45564.916666666664</v>
      </c>
      <c r="H138">
        <v>9</v>
      </c>
      <c r="I138">
        <v>2024</v>
      </c>
      <c r="J138" s="38"/>
      <c r="K138" t="s">
        <v>89</v>
      </c>
      <c r="L138" t="s">
        <v>194</v>
      </c>
      <c r="M138" t="s">
        <v>93</v>
      </c>
      <c r="N138" t="s">
        <v>159</v>
      </c>
      <c r="O138"/>
      <c r="P138" t="s">
        <v>83</v>
      </c>
      <c r="Q138" t="s">
        <v>694</v>
      </c>
      <c r="R138" t="s">
        <v>87</v>
      </c>
      <c r="S138" t="s">
        <v>32</v>
      </c>
      <c r="U138" t="b">
        <v>1</v>
      </c>
      <c r="V138" t="b">
        <v>1</v>
      </c>
      <c r="W138" t="b">
        <v>1</v>
      </c>
      <c r="Y138" s="38"/>
      <c r="AS138"/>
    </row>
    <row r="139" spans="1:45" x14ac:dyDescent="0.3">
      <c r="A139">
        <v>433</v>
      </c>
      <c r="B139" t="s">
        <v>298</v>
      </c>
      <c r="E139" t="s">
        <v>721</v>
      </c>
      <c r="F139" t="s">
        <v>17</v>
      </c>
      <c r="G139" s="39">
        <v>45564.916666666664</v>
      </c>
      <c r="H139">
        <v>9</v>
      </c>
      <c r="I139">
        <v>2024</v>
      </c>
      <c r="J139" s="38"/>
      <c r="K139" t="s">
        <v>700</v>
      </c>
      <c r="L139" t="s">
        <v>701</v>
      </c>
      <c r="M139" t="s">
        <v>702</v>
      </c>
      <c r="N139" t="s">
        <v>269</v>
      </c>
      <c r="O139"/>
      <c r="P139" t="s">
        <v>722</v>
      </c>
      <c r="Q139" t="s">
        <v>266</v>
      </c>
      <c r="R139" t="s">
        <v>267</v>
      </c>
      <c r="S139" t="s">
        <v>32</v>
      </c>
      <c r="U139" t="b">
        <v>1</v>
      </c>
      <c r="V139" t="b">
        <v>1</v>
      </c>
      <c r="W139" t="b">
        <v>0</v>
      </c>
      <c r="Y139" s="38"/>
      <c r="AS139"/>
    </row>
    <row r="140" spans="1:45" x14ac:dyDescent="0.3">
      <c r="A140">
        <v>432</v>
      </c>
      <c r="B140" t="s">
        <v>71</v>
      </c>
      <c r="E140" t="s">
        <v>719</v>
      </c>
      <c r="F140" t="s">
        <v>711</v>
      </c>
      <c r="G140" s="39">
        <v>45564.916666666664</v>
      </c>
      <c r="H140">
        <v>9</v>
      </c>
      <c r="I140">
        <v>2024</v>
      </c>
      <c r="J140" s="38"/>
      <c r="K140" t="s">
        <v>89</v>
      </c>
      <c r="L140" t="s">
        <v>194</v>
      </c>
      <c r="M140" t="s">
        <v>95</v>
      </c>
      <c r="N140" t="s">
        <v>159</v>
      </c>
      <c r="O140"/>
      <c r="P140" t="s">
        <v>83</v>
      </c>
      <c r="Q140" t="s">
        <v>695</v>
      </c>
      <c r="R140" t="s">
        <v>97</v>
      </c>
      <c r="S140" t="s">
        <v>32</v>
      </c>
      <c r="U140" t="b">
        <v>1</v>
      </c>
      <c r="V140" t="b">
        <v>1</v>
      </c>
      <c r="W140" t="b">
        <v>1</v>
      </c>
      <c r="Y140" s="38"/>
      <c r="AS140"/>
    </row>
    <row r="141" spans="1:45" x14ac:dyDescent="0.3">
      <c r="A141">
        <v>431</v>
      </c>
      <c r="B141" t="s">
        <v>303</v>
      </c>
      <c r="E141" t="s">
        <v>757</v>
      </c>
      <c r="F141" t="s">
        <v>17</v>
      </c>
      <c r="G141" s="39">
        <v>45577.916666666664</v>
      </c>
      <c r="H141">
        <v>10</v>
      </c>
      <c r="I141">
        <v>2024</v>
      </c>
      <c r="J141" s="38"/>
      <c r="K141" t="s">
        <v>178</v>
      </c>
      <c r="L141" t="s">
        <v>80</v>
      </c>
      <c r="M141" t="s">
        <v>123</v>
      </c>
      <c r="N141" t="s">
        <v>269</v>
      </c>
      <c r="O141"/>
      <c r="P141" t="s">
        <v>302</v>
      </c>
      <c r="Q141" t="s">
        <v>266</v>
      </c>
      <c r="R141" t="s">
        <v>267</v>
      </c>
      <c r="S141" t="s">
        <v>33</v>
      </c>
      <c r="T141" t="s">
        <v>758</v>
      </c>
      <c r="U141" t="b">
        <v>0</v>
      </c>
      <c r="V141" t="b">
        <v>1</v>
      </c>
      <c r="W141" t="b">
        <v>1</v>
      </c>
      <c r="Y141" s="38"/>
      <c r="AS141"/>
    </row>
    <row r="142" spans="1:45" x14ac:dyDescent="0.3">
      <c r="A142">
        <v>430</v>
      </c>
      <c r="B142" t="s">
        <v>200</v>
      </c>
      <c r="E142" t="s">
        <v>762</v>
      </c>
      <c r="F142" t="s">
        <v>17</v>
      </c>
      <c r="G142" s="39">
        <v>45577.916666666664</v>
      </c>
      <c r="H142">
        <v>10</v>
      </c>
      <c r="I142">
        <v>2024</v>
      </c>
      <c r="J142" s="38"/>
      <c r="K142" t="s">
        <v>166</v>
      </c>
      <c r="L142" t="s">
        <v>182</v>
      </c>
      <c r="M142" t="s">
        <v>14</v>
      </c>
      <c r="N142" t="s">
        <v>72</v>
      </c>
      <c r="O142"/>
      <c r="P142" t="s">
        <v>199</v>
      </c>
      <c r="Q142" t="s">
        <v>167</v>
      </c>
      <c r="R142" t="s">
        <v>168</v>
      </c>
      <c r="S142" t="s">
        <v>242</v>
      </c>
      <c r="U142" t="b">
        <v>0</v>
      </c>
      <c r="V142" t="b">
        <v>1</v>
      </c>
      <c r="W142" t="b">
        <v>0</v>
      </c>
      <c r="Y142" s="38"/>
      <c r="AS142"/>
    </row>
    <row r="143" spans="1:45" x14ac:dyDescent="0.3">
      <c r="A143">
        <v>429</v>
      </c>
      <c r="B143" t="s">
        <v>200</v>
      </c>
      <c r="E143" t="s">
        <v>720</v>
      </c>
      <c r="F143" t="s">
        <v>17</v>
      </c>
      <c r="G143" s="39">
        <v>45564.916666666664</v>
      </c>
      <c r="H143">
        <v>9</v>
      </c>
      <c r="I143">
        <v>2024</v>
      </c>
      <c r="J143" s="38"/>
      <c r="K143" t="s">
        <v>178</v>
      </c>
      <c r="L143" t="s">
        <v>80</v>
      </c>
      <c r="M143" t="s">
        <v>14</v>
      </c>
      <c r="N143" t="s">
        <v>72</v>
      </c>
      <c r="O143"/>
      <c r="P143" t="s">
        <v>199</v>
      </c>
      <c r="Q143" t="s">
        <v>135</v>
      </c>
      <c r="R143" t="s">
        <v>31</v>
      </c>
      <c r="S143" t="s">
        <v>242</v>
      </c>
      <c r="U143" t="b">
        <v>0</v>
      </c>
      <c r="V143" t="b">
        <v>1</v>
      </c>
      <c r="W143" t="b">
        <v>0</v>
      </c>
      <c r="Y143" s="38"/>
      <c r="AS143"/>
    </row>
    <row r="144" spans="1:45" x14ac:dyDescent="0.3">
      <c r="A144">
        <v>428</v>
      </c>
      <c r="B144" t="s">
        <v>303</v>
      </c>
      <c r="E144" t="s">
        <v>725</v>
      </c>
      <c r="F144" t="s">
        <v>17</v>
      </c>
      <c r="G144" s="39">
        <v>45568.916666666664</v>
      </c>
      <c r="H144">
        <v>10</v>
      </c>
      <c r="I144">
        <v>2024</v>
      </c>
      <c r="J144" s="38"/>
      <c r="K144" t="s">
        <v>700</v>
      </c>
      <c r="L144" t="s">
        <v>701</v>
      </c>
      <c r="M144" t="s">
        <v>702</v>
      </c>
      <c r="N144" t="s">
        <v>269</v>
      </c>
      <c r="O144"/>
      <c r="P144" t="s">
        <v>302</v>
      </c>
      <c r="Q144" t="s">
        <v>266</v>
      </c>
      <c r="R144" t="s">
        <v>267</v>
      </c>
      <c r="S144" t="s">
        <v>715</v>
      </c>
      <c r="U144" t="b">
        <v>0</v>
      </c>
      <c r="V144" t="b">
        <v>1</v>
      </c>
      <c r="W144" t="b">
        <v>0</v>
      </c>
      <c r="Y144" s="38"/>
      <c r="AS144"/>
    </row>
    <row r="145" spans="1:45" x14ac:dyDescent="0.3">
      <c r="A145">
        <v>427</v>
      </c>
      <c r="B145" t="s">
        <v>303</v>
      </c>
      <c r="E145" t="s">
        <v>716</v>
      </c>
      <c r="F145" t="s">
        <v>17</v>
      </c>
      <c r="G145" s="39">
        <v>45564.916666666664</v>
      </c>
      <c r="H145">
        <v>9</v>
      </c>
      <c r="I145">
        <v>2024</v>
      </c>
      <c r="J145" s="38"/>
      <c r="K145" t="s">
        <v>700</v>
      </c>
      <c r="L145" t="s">
        <v>701</v>
      </c>
      <c r="M145" t="s">
        <v>702</v>
      </c>
      <c r="N145" t="s">
        <v>269</v>
      </c>
      <c r="O145"/>
      <c r="P145" t="s">
        <v>302</v>
      </c>
      <c r="Q145" t="s">
        <v>266</v>
      </c>
      <c r="R145" t="s">
        <v>267</v>
      </c>
      <c r="S145" t="s">
        <v>715</v>
      </c>
      <c r="U145" t="b">
        <v>0</v>
      </c>
      <c r="V145" t="b">
        <v>1</v>
      </c>
      <c r="W145" t="b">
        <v>1</v>
      </c>
      <c r="Y145" s="38"/>
      <c r="AS145"/>
    </row>
    <row r="146" spans="1:45" x14ac:dyDescent="0.3">
      <c r="A146">
        <v>426</v>
      </c>
      <c r="B146" t="s">
        <v>156</v>
      </c>
      <c r="E146" t="s">
        <v>740</v>
      </c>
      <c r="F146" t="s">
        <v>17</v>
      </c>
      <c r="G146" s="39">
        <v>45575.916666666664</v>
      </c>
      <c r="H146">
        <v>10</v>
      </c>
      <c r="I146">
        <v>2024</v>
      </c>
      <c r="J146" s="38"/>
      <c r="K146" t="s">
        <v>173</v>
      </c>
      <c r="L146" t="s">
        <v>174</v>
      </c>
      <c r="M146" t="s">
        <v>14</v>
      </c>
      <c r="N146" t="s">
        <v>159</v>
      </c>
      <c r="O146"/>
      <c r="P146" t="s">
        <v>155</v>
      </c>
      <c r="Q146" t="s">
        <v>135</v>
      </c>
      <c r="R146" t="s">
        <v>31</v>
      </c>
      <c r="S146" t="s">
        <v>33</v>
      </c>
      <c r="T146" t="s">
        <v>734</v>
      </c>
      <c r="U146" t="b">
        <v>1</v>
      </c>
      <c r="V146" t="b">
        <v>1</v>
      </c>
      <c r="W146" t="b">
        <v>0</v>
      </c>
      <c r="Y146" s="38"/>
      <c r="AS146"/>
    </row>
    <row r="147" spans="1:45" x14ac:dyDescent="0.3">
      <c r="A147">
        <v>425</v>
      </c>
      <c r="B147" t="s">
        <v>71</v>
      </c>
      <c r="E147" t="s">
        <v>751</v>
      </c>
      <c r="F147" t="s">
        <v>17</v>
      </c>
      <c r="G147" s="39">
        <v>45572.916666666664</v>
      </c>
      <c r="H147">
        <v>10</v>
      </c>
      <c r="I147">
        <v>2024</v>
      </c>
      <c r="J147" s="38"/>
      <c r="K147" t="s">
        <v>175</v>
      </c>
      <c r="L147" t="s">
        <v>176</v>
      </c>
      <c r="M147" t="s">
        <v>14</v>
      </c>
      <c r="N147" t="s">
        <v>177</v>
      </c>
      <c r="O147"/>
      <c r="P147" t="s">
        <v>107</v>
      </c>
      <c r="Q147" t="s">
        <v>145</v>
      </c>
      <c r="R147" t="s">
        <v>12</v>
      </c>
      <c r="S147" t="s">
        <v>78</v>
      </c>
      <c r="T147" t="s">
        <v>752</v>
      </c>
      <c r="U147" t="b">
        <v>1</v>
      </c>
      <c r="V147" t="b">
        <v>1</v>
      </c>
      <c r="W147" t="b">
        <v>1</v>
      </c>
      <c r="Y147" s="38"/>
      <c r="AS147"/>
    </row>
    <row r="148" spans="1:45" x14ac:dyDescent="0.3">
      <c r="A148">
        <v>424</v>
      </c>
      <c r="B148" t="s">
        <v>303</v>
      </c>
      <c r="E148" t="s">
        <v>705</v>
      </c>
      <c r="F148" t="s">
        <v>17</v>
      </c>
      <c r="G148" s="39">
        <v>45563.916666666664</v>
      </c>
      <c r="H148">
        <v>9</v>
      </c>
      <c r="I148">
        <v>2024</v>
      </c>
      <c r="J148" s="38"/>
      <c r="K148" t="s">
        <v>700</v>
      </c>
      <c r="L148" t="s">
        <v>701</v>
      </c>
      <c r="M148" t="s">
        <v>702</v>
      </c>
      <c r="N148" t="s">
        <v>269</v>
      </c>
      <c r="O148"/>
      <c r="P148" t="s">
        <v>302</v>
      </c>
      <c r="Q148" t="s">
        <v>266</v>
      </c>
      <c r="R148" t="s">
        <v>267</v>
      </c>
      <c r="S148" t="s">
        <v>681</v>
      </c>
      <c r="T148" t="s">
        <v>731</v>
      </c>
      <c r="U148" t="b">
        <v>0</v>
      </c>
      <c r="V148" t="b">
        <v>1</v>
      </c>
      <c r="W148" t="b">
        <v>0</v>
      </c>
      <c r="Y148" s="38"/>
      <c r="AS148"/>
    </row>
    <row r="149" spans="1:45" x14ac:dyDescent="0.3">
      <c r="A149">
        <v>423</v>
      </c>
      <c r="B149" t="s">
        <v>71</v>
      </c>
      <c r="E149" t="s">
        <v>717</v>
      </c>
      <c r="F149" t="s">
        <v>17</v>
      </c>
      <c r="G149" s="39">
        <v>45565.916666666664</v>
      </c>
      <c r="H149">
        <v>10</v>
      </c>
      <c r="I149">
        <v>2024</v>
      </c>
      <c r="J149" s="38"/>
      <c r="K149" t="s">
        <v>133</v>
      </c>
      <c r="L149" t="s">
        <v>134</v>
      </c>
      <c r="M149" t="s">
        <v>128</v>
      </c>
      <c r="N149" t="s">
        <v>72</v>
      </c>
      <c r="O149"/>
      <c r="P149" t="s">
        <v>34</v>
      </c>
      <c r="Q149" t="s">
        <v>192</v>
      </c>
      <c r="R149" t="s">
        <v>12</v>
      </c>
      <c r="S149" t="s">
        <v>32</v>
      </c>
      <c r="U149" t="b">
        <v>1</v>
      </c>
      <c r="V149" t="b">
        <v>1</v>
      </c>
      <c r="W149" t="b">
        <v>1</v>
      </c>
      <c r="Y149" s="38"/>
      <c r="AS149"/>
    </row>
    <row r="150" spans="1:45" x14ac:dyDescent="0.3">
      <c r="A150">
        <v>422</v>
      </c>
      <c r="B150" t="s">
        <v>77</v>
      </c>
      <c r="E150" t="s">
        <v>759</v>
      </c>
      <c r="F150" t="s">
        <v>17</v>
      </c>
      <c r="G150" s="39">
        <v>45577.916666666664</v>
      </c>
      <c r="H150">
        <v>10</v>
      </c>
      <c r="I150">
        <v>2024</v>
      </c>
      <c r="J150" s="38"/>
      <c r="K150" t="s">
        <v>148</v>
      </c>
      <c r="L150" t="s">
        <v>238</v>
      </c>
      <c r="M150" t="s">
        <v>154</v>
      </c>
      <c r="N150" t="s">
        <v>159</v>
      </c>
      <c r="O150"/>
      <c r="P150" t="s">
        <v>153</v>
      </c>
      <c r="Q150" t="s">
        <v>695</v>
      </c>
      <c r="R150" t="s">
        <v>97</v>
      </c>
      <c r="S150" t="s">
        <v>32</v>
      </c>
      <c r="T150" t="s">
        <v>738</v>
      </c>
      <c r="U150" t="b">
        <v>1</v>
      </c>
      <c r="V150" t="b">
        <v>1</v>
      </c>
      <c r="W150" t="b">
        <v>0</v>
      </c>
      <c r="Y150" s="38"/>
      <c r="AS150"/>
    </row>
    <row r="151" spans="1:45" x14ac:dyDescent="0.3">
      <c r="A151">
        <v>421</v>
      </c>
      <c r="B151" t="s">
        <v>71</v>
      </c>
      <c r="E151" t="s">
        <v>712</v>
      </c>
      <c r="F151" t="s">
        <v>711</v>
      </c>
      <c r="G151" s="39">
        <v>45574.916666666664</v>
      </c>
      <c r="H151">
        <v>10</v>
      </c>
      <c r="I151">
        <v>2024</v>
      </c>
      <c r="J151" s="38"/>
      <c r="K151" t="s">
        <v>175</v>
      </c>
      <c r="L151" t="s">
        <v>176</v>
      </c>
      <c r="M151" t="s">
        <v>123</v>
      </c>
      <c r="N151" t="s">
        <v>72</v>
      </c>
      <c r="O151"/>
      <c r="P151" t="s">
        <v>34</v>
      </c>
      <c r="Q151" t="s">
        <v>222</v>
      </c>
      <c r="R151" t="s">
        <v>223</v>
      </c>
      <c r="S151" t="s">
        <v>32</v>
      </c>
      <c r="T151" t="s">
        <v>738</v>
      </c>
      <c r="U151" t="b">
        <v>1</v>
      </c>
      <c r="V151" t="b">
        <v>1</v>
      </c>
      <c r="W151" t="b">
        <v>1</v>
      </c>
      <c r="Y151" s="38"/>
      <c r="AS151"/>
    </row>
    <row r="152" spans="1:45" x14ac:dyDescent="0.3">
      <c r="A152">
        <v>420</v>
      </c>
      <c r="B152" t="s">
        <v>71</v>
      </c>
      <c r="E152" t="s">
        <v>857</v>
      </c>
      <c r="F152" t="s">
        <v>17</v>
      </c>
      <c r="G152" s="39">
        <v>45572.916666666664</v>
      </c>
      <c r="H152">
        <v>10</v>
      </c>
      <c r="I152">
        <v>2024</v>
      </c>
      <c r="J152" s="38"/>
      <c r="K152" t="s">
        <v>148</v>
      </c>
      <c r="L152" t="s">
        <v>238</v>
      </c>
      <c r="M152" t="s">
        <v>154</v>
      </c>
      <c r="N152" t="s">
        <v>159</v>
      </c>
      <c r="O152"/>
      <c r="P152" t="s">
        <v>83</v>
      </c>
      <c r="Q152" t="s">
        <v>695</v>
      </c>
      <c r="R152" t="s">
        <v>97</v>
      </c>
      <c r="S152" t="s">
        <v>32</v>
      </c>
      <c r="T152" t="s">
        <v>738</v>
      </c>
      <c r="U152" t="b">
        <v>1</v>
      </c>
      <c r="V152" t="b">
        <v>1</v>
      </c>
      <c r="W152" t="b">
        <v>1</v>
      </c>
      <c r="Y152" s="38"/>
      <c r="AS152"/>
    </row>
    <row r="153" spans="1:45" x14ac:dyDescent="0.3">
      <c r="A153">
        <v>419</v>
      </c>
      <c r="B153" t="s">
        <v>71</v>
      </c>
      <c r="E153" t="s">
        <v>772</v>
      </c>
      <c r="F153" t="s">
        <v>17</v>
      </c>
      <c r="G153" s="39">
        <v>45587.916666666664</v>
      </c>
      <c r="H153">
        <v>10</v>
      </c>
      <c r="I153">
        <v>2024</v>
      </c>
      <c r="J153" s="38"/>
      <c r="K153" t="s">
        <v>14</v>
      </c>
      <c r="L153" t="s">
        <v>99</v>
      </c>
      <c r="M153" t="s">
        <v>147</v>
      </c>
      <c r="N153" t="s">
        <v>159</v>
      </c>
      <c r="O153"/>
      <c r="P153" t="s">
        <v>83</v>
      </c>
      <c r="Q153" t="s">
        <v>421</v>
      </c>
      <c r="R153" t="s">
        <v>422</v>
      </c>
      <c r="S153" t="s">
        <v>32</v>
      </c>
      <c r="T153" t="s">
        <v>738</v>
      </c>
      <c r="U153" t="b">
        <v>1</v>
      </c>
      <c r="V153" t="b">
        <v>1</v>
      </c>
      <c r="W153" t="b">
        <v>1</v>
      </c>
      <c r="Y153" s="38"/>
      <c r="AS153"/>
    </row>
    <row r="154" spans="1:45" x14ac:dyDescent="0.3">
      <c r="A154">
        <v>418</v>
      </c>
      <c r="B154" t="s">
        <v>77</v>
      </c>
      <c r="E154" t="s">
        <v>736</v>
      </c>
      <c r="F154" t="s">
        <v>17</v>
      </c>
      <c r="G154" s="39">
        <v>45574.916666666664</v>
      </c>
      <c r="H154">
        <v>10</v>
      </c>
      <c r="I154">
        <v>2024</v>
      </c>
      <c r="J154" s="38"/>
      <c r="K154" t="s">
        <v>178</v>
      </c>
      <c r="L154" t="s">
        <v>80</v>
      </c>
      <c r="M154" t="s">
        <v>733</v>
      </c>
      <c r="N154" t="s">
        <v>159</v>
      </c>
      <c r="O154"/>
      <c r="P154" t="s">
        <v>153</v>
      </c>
      <c r="Q154" t="s">
        <v>481</v>
      </c>
      <c r="R154" t="s">
        <v>31</v>
      </c>
      <c r="S154" t="s">
        <v>33</v>
      </c>
      <c r="T154" t="s">
        <v>734</v>
      </c>
      <c r="U154" t="b">
        <v>1</v>
      </c>
      <c r="V154" t="b">
        <v>1</v>
      </c>
      <c r="W154" t="b">
        <v>1</v>
      </c>
      <c r="Y154" s="38"/>
      <c r="AS154"/>
    </row>
    <row r="155" spans="1:45" x14ac:dyDescent="0.3">
      <c r="A155">
        <v>417</v>
      </c>
      <c r="B155" t="s">
        <v>303</v>
      </c>
      <c r="E155" t="s">
        <v>735</v>
      </c>
      <c r="F155" t="s">
        <v>17</v>
      </c>
      <c r="G155" s="39">
        <v>45574.916666666664</v>
      </c>
      <c r="H155">
        <v>10</v>
      </c>
      <c r="I155">
        <v>2024</v>
      </c>
      <c r="J155" s="38"/>
      <c r="K155" t="s">
        <v>700</v>
      </c>
      <c r="L155" t="s">
        <v>701</v>
      </c>
      <c r="M155" t="s">
        <v>702</v>
      </c>
      <c r="N155" t="s">
        <v>269</v>
      </c>
      <c r="O155"/>
      <c r="P155" t="s">
        <v>302</v>
      </c>
      <c r="Q155" t="s">
        <v>266</v>
      </c>
      <c r="R155" t="s">
        <v>267</v>
      </c>
      <c r="S155" t="s">
        <v>715</v>
      </c>
      <c r="T155" t="s">
        <v>729</v>
      </c>
      <c r="U155" t="b">
        <v>0</v>
      </c>
      <c r="V155" t="b">
        <v>1</v>
      </c>
      <c r="W155" t="b">
        <v>0</v>
      </c>
      <c r="Y155" s="38"/>
      <c r="AS155"/>
    </row>
    <row r="156" spans="1:45" x14ac:dyDescent="0.3">
      <c r="A156">
        <v>416</v>
      </c>
      <c r="B156" t="s">
        <v>158</v>
      </c>
      <c r="E156" t="s">
        <v>750</v>
      </c>
      <c r="F156" t="s">
        <v>17</v>
      </c>
      <c r="G156" s="39">
        <v>45569.916666666664</v>
      </c>
      <c r="H156">
        <v>10</v>
      </c>
      <c r="I156">
        <v>2024</v>
      </c>
      <c r="J156" s="38"/>
      <c r="K156" t="s">
        <v>178</v>
      </c>
      <c r="L156" t="s">
        <v>80</v>
      </c>
      <c r="M156" t="s">
        <v>102</v>
      </c>
      <c r="N156" t="s">
        <v>72</v>
      </c>
      <c r="O156"/>
      <c r="P156" t="s">
        <v>157</v>
      </c>
      <c r="Q156" t="s">
        <v>749</v>
      </c>
      <c r="R156" t="s">
        <v>31</v>
      </c>
      <c r="S156" t="s">
        <v>32</v>
      </c>
      <c r="T156" t="s">
        <v>727</v>
      </c>
      <c r="U156" t="b">
        <v>0</v>
      </c>
      <c r="V156" t="b">
        <v>1</v>
      </c>
      <c r="W156" t="b">
        <v>1</v>
      </c>
      <c r="Y156" s="38"/>
      <c r="AS156"/>
    </row>
    <row r="157" spans="1:45" x14ac:dyDescent="0.3">
      <c r="A157">
        <v>415</v>
      </c>
      <c r="B157" t="s">
        <v>303</v>
      </c>
      <c r="E157" t="s">
        <v>728</v>
      </c>
      <c r="F157" t="s">
        <v>17</v>
      </c>
      <c r="G157" s="39">
        <v>45570.916666666664</v>
      </c>
      <c r="H157">
        <v>10</v>
      </c>
      <c r="I157">
        <v>2024</v>
      </c>
      <c r="J157" s="38"/>
      <c r="K157" t="s">
        <v>700</v>
      </c>
      <c r="L157" t="s">
        <v>701</v>
      </c>
      <c r="M157" t="s">
        <v>702</v>
      </c>
      <c r="N157" t="s">
        <v>269</v>
      </c>
      <c r="O157"/>
      <c r="P157" t="s">
        <v>302</v>
      </c>
      <c r="Q157" t="s">
        <v>266</v>
      </c>
      <c r="R157" t="s">
        <v>267</v>
      </c>
      <c r="S157" t="s">
        <v>715</v>
      </c>
      <c r="T157" t="s">
        <v>729</v>
      </c>
      <c r="U157" t="b">
        <v>0</v>
      </c>
      <c r="V157" t="b">
        <v>1</v>
      </c>
      <c r="W157" t="b">
        <v>0</v>
      </c>
      <c r="Y157" s="38"/>
      <c r="AS157"/>
    </row>
    <row r="158" spans="1:45" x14ac:dyDescent="0.3">
      <c r="A158">
        <v>414</v>
      </c>
      <c r="B158" t="s">
        <v>303</v>
      </c>
      <c r="E158" t="s">
        <v>724</v>
      </c>
      <c r="F158" t="s">
        <v>17</v>
      </c>
      <c r="G158" s="39">
        <v>45566.916666666664</v>
      </c>
      <c r="H158">
        <v>10</v>
      </c>
      <c r="I158">
        <v>2024</v>
      </c>
      <c r="J158" s="38"/>
      <c r="K158" t="s">
        <v>700</v>
      </c>
      <c r="L158" t="s">
        <v>701</v>
      </c>
      <c r="M158" t="s">
        <v>702</v>
      </c>
      <c r="N158" t="s">
        <v>269</v>
      </c>
      <c r="O158"/>
      <c r="P158" t="s">
        <v>302</v>
      </c>
      <c r="Q158" t="s">
        <v>266</v>
      </c>
      <c r="R158" t="s">
        <v>267</v>
      </c>
      <c r="S158" t="s">
        <v>715</v>
      </c>
      <c r="U158" t="b">
        <v>0</v>
      </c>
      <c r="V158" t="b">
        <v>1</v>
      </c>
      <c r="W158" t="b">
        <v>0</v>
      </c>
      <c r="Y158" s="38"/>
      <c r="AS158"/>
    </row>
    <row r="159" spans="1:45" x14ac:dyDescent="0.3">
      <c r="A159">
        <v>413</v>
      </c>
      <c r="B159" t="s">
        <v>71</v>
      </c>
      <c r="E159" t="s">
        <v>755</v>
      </c>
      <c r="F159" t="s">
        <v>711</v>
      </c>
      <c r="G159" s="39">
        <v>45576.916666666664</v>
      </c>
      <c r="H159">
        <v>10</v>
      </c>
      <c r="I159">
        <v>2024</v>
      </c>
      <c r="J159" s="38"/>
      <c r="K159" t="s">
        <v>14</v>
      </c>
      <c r="L159" t="s">
        <v>99</v>
      </c>
      <c r="M159" t="s">
        <v>100</v>
      </c>
      <c r="N159" t="s">
        <v>165</v>
      </c>
      <c r="O159"/>
      <c r="P159" t="s">
        <v>101</v>
      </c>
      <c r="Q159" t="s">
        <v>500</v>
      </c>
      <c r="R159" t="s">
        <v>501</v>
      </c>
      <c r="S159" t="s">
        <v>715</v>
      </c>
      <c r="T159" t="s">
        <v>756</v>
      </c>
      <c r="U159" t="b">
        <v>1</v>
      </c>
      <c r="V159" t="b">
        <v>1</v>
      </c>
      <c r="W159" t="b">
        <v>1</v>
      </c>
      <c r="Y159" s="38"/>
      <c r="AS159"/>
    </row>
    <row r="160" spans="1:45" x14ac:dyDescent="0.3">
      <c r="A160">
        <v>412</v>
      </c>
      <c r="B160" t="s">
        <v>71</v>
      </c>
      <c r="E160" t="s">
        <v>271</v>
      </c>
      <c r="F160" t="s">
        <v>17</v>
      </c>
      <c r="G160" s="39">
        <v>45576.916666666664</v>
      </c>
      <c r="H160">
        <v>10</v>
      </c>
      <c r="I160">
        <v>2024</v>
      </c>
      <c r="J160" s="38"/>
      <c r="K160" t="s">
        <v>166</v>
      </c>
      <c r="L160" t="s">
        <v>182</v>
      </c>
      <c r="M160" t="s">
        <v>14</v>
      </c>
      <c r="N160" t="s">
        <v>72</v>
      </c>
      <c r="O160"/>
      <c r="P160" t="s">
        <v>34</v>
      </c>
      <c r="Q160" t="s">
        <v>167</v>
      </c>
      <c r="R160" t="s">
        <v>168</v>
      </c>
      <c r="S160" t="s">
        <v>79</v>
      </c>
      <c r="T160" t="s">
        <v>754</v>
      </c>
      <c r="U160" t="b">
        <v>0</v>
      </c>
      <c r="V160" t="b">
        <v>1</v>
      </c>
      <c r="W160" t="b">
        <v>0</v>
      </c>
      <c r="Y160" s="38"/>
      <c r="AS160"/>
    </row>
    <row r="161" spans="1:45" x14ac:dyDescent="0.3">
      <c r="A161">
        <v>411</v>
      </c>
      <c r="B161" t="s">
        <v>303</v>
      </c>
      <c r="E161" t="s">
        <v>739</v>
      </c>
      <c r="F161" t="s">
        <v>17</v>
      </c>
      <c r="G161" s="39">
        <v>45574.916666666664</v>
      </c>
      <c r="H161">
        <v>10</v>
      </c>
      <c r="I161">
        <v>2024</v>
      </c>
      <c r="J161" s="38"/>
      <c r="K161" t="s">
        <v>700</v>
      </c>
      <c r="L161" t="s">
        <v>701</v>
      </c>
      <c r="M161" t="s">
        <v>702</v>
      </c>
      <c r="N161" t="s">
        <v>269</v>
      </c>
      <c r="O161"/>
      <c r="P161" t="s">
        <v>302</v>
      </c>
      <c r="Q161" t="s">
        <v>266</v>
      </c>
      <c r="R161" t="s">
        <v>267</v>
      </c>
      <c r="S161" t="s">
        <v>715</v>
      </c>
      <c r="T161" t="s">
        <v>729</v>
      </c>
      <c r="U161" t="b">
        <v>0</v>
      </c>
      <c r="V161" t="b">
        <v>1</v>
      </c>
      <c r="W161" t="b">
        <v>0</v>
      </c>
      <c r="Y161" s="38"/>
      <c r="AS161"/>
    </row>
    <row r="162" spans="1:45" x14ac:dyDescent="0.3">
      <c r="A162">
        <v>410</v>
      </c>
      <c r="B162" t="s">
        <v>303</v>
      </c>
      <c r="E162" t="s">
        <v>723</v>
      </c>
      <c r="F162" t="s">
        <v>17</v>
      </c>
      <c r="G162" s="39">
        <v>45564.916666666664</v>
      </c>
      <c r="H162">
        <v>9</v>
      </c>
      <c r="I162">
        <v>2024</v>
      </c>
      <c r="J162" s="38"/>
      <c r="K162" t="s">
        <v>700</v>
      </c>
      <c r="L162" t="s">
        <v>701</v>
      </c>
      <c r="M162" t="s">
        <v>702</v>
      </c>
      <c r="N162" t="s">
        <v>269</v>
      </c>
      <c r="O162"/>
      <c r="P162" t="s">
        <v>302</v>
      </c>
      <c r="Q162" t="s">
        <v>266</v>
      </c>
      <c r="R162" t="s">
        <v>267</v>
      </c>
      <c r="S162" t="s">
        <v>32</v>
      </c>
      <c r="U162" t="b">
        <v>1</v>
      </c>
      <c r="V162" t="b">
        <v>1</v>
      </c>
      <c r="W162" t="b">
        <v>0</v>
      </c>
      <c r="Y162" s="38"/>
      <c r="AS162"/>
    </row>
    <row r="163" spans="1:45" x14ac:dyDescent="0.3">
      <c r="A163">
        <v>409</v>
      </c>
      <c r="B163" t="s">
        <v>301</v>
      </c>
      <c r="E163" t="s">
        <v>726</v>
      </c>
      <c r="F163" t="s">
        <v>17</v>
      </c>
      <c r="G163" s="39">
        <v>45570.916666666664</v>
      </c>
      <c r="H163">
        <v>10</v>
      </c>
      <c r="I163">
        <v>2024</v>
      </c>
      <c r="J163" s="38"/>
      <c r="K163" t="s">
        <v>700</v>
      </c>
      <c r="L163" t="s">
        <v>701</v>
      </c>
      <c r="M163" t="s">
        <v>702</v>
      </c>
      <c r="N163" t="s">
        <v>269</v>
      </c>
      <c r="O163"/>
      <c r="P163" t="s">
        <v>710</v>
      </c>
      <c r="Q163" t="s">
        <v>266</v>
      </c>
      <c r="R163" t="s">
        <v>267</v>
      </c>
      <c r="S163" t="s">
        <v>32</v>
      </c>
      <c r="T163" t="s">
        <v>727</v>
      </c>
      <c r="U163" t="b">
        <v>0</v>
      </c>
      <c r="V163" t="b">
        <v>1</v>
      </c>
      <c r="W163" t="b">
        <v>1</v>
      </c>
      <c r="Y163" s="38"/>
      <c r="AS163"/>
    </row>
    <row r="164" spans="1:45" x14ac:dyDescent="0.3">
      <c r="A164">
        <v>408</v>
      </c>
      <c r="B164" t="s">
        <v>71</v>
      </c>
      <c r="E164" t="s">
        <v>234</v>
      </c>
      <c r="F164" t="s">
        <v>711</v>
      </c>
      <c r="G164" s="39">
        <v>45568.916666666664</v>
      </c>
      <c r="H164">
        <v>10</v>
      </c>
      <c r="I164">
        <v>2024</v>
      </c>
      <c r="J164" s="38"/>
      <c r="K164" t="s">
        <v>118</v>
      </c>
      <c r="L164" t="s">
        <v>119</v>
      </c>
      <c r="M164" t="s">
        <v>137</v>
      </c>
      <c r="N164" t="s">
        <v>72</v>
      </c>
      <c r="O164"/>
      <c r="P164" t="s">
        <v>34</v>
      </c>
      <c r="Q164" t="s">
        <v>135</v>
      </c>
      <c r="R164" t="s">
        <v>31</v>
      </c>
      <c r="S164" t="s">
        <v>32</v>
      </c>
      <c r="U164" t="b">
        <v>1</v>
      </c>
      <c r="V164" t="b">
        <v>1</v>
      </c>
      <c r="W164" t="b">
        <v>0</v>
      </c>
      <c r="Y164" s="38"/>
      <c r="AS164"/>
    </row>
    <row r="165" spans="1:45" x14ac:dyDescent="0.3">
      <c r="A165">
        <v>407</v>
      </c>
      <c r="B165" t="s">
        <v>268</v>
      </c>
      <c r="E165" t="s">
        <v>730</v>
      </c>
      <c r="F165" t="s">
        <v>17</v>
      </c>
      <c r="G165" s="39">
        <v>45571.916666666664</v>
      </c>
      <c r="H165">
        <v>10</v>
      </c>
      <c r="I165">
        <v>2024</v>
      </c>
      <c r="J165" s="38"/>
      <c r="K165" t="s">
        <v>700</v>
      </c>
      <c r="L165" t="s">
        <v>701</v>
      </c>
      <c r="M165" t="s">
        <v>702</v>
      </c>
      <c r="N165" t="s">
        <v>269</v>
      </c>
      <c r="O165"/>
      <c r="P165" t="s">
        <v>707</v>
      </c>
      <c r="Q165" t="s">
        <v>266</v>
      </c>
      <c r="R165" t="s">
        <v>267</v>
      </c>
      <c r="S165" t="s">
        <v>32</v>
      </c>
      <c r="T165" t="s">
        <v>727</v>
      </c>
      <c r="U165" t="b">
        <v>0</v>
      </c>
      <c r="V165" t="b">
        <v>1</v>
      </c>
      <c r="W165" t="b">
        <v>1</v>
      </c>
      <c r="Y165" s="38"/>
      <c r="AS165"/>
    </row>
    <row r="166" spans="1:45" x14ac:dyDescent="0.3">
      <c r="A166">
        <v>406</v>
      </c>
      <c r="B166" t="s">
        <v>71</v>
      </c>
      <c r="E166" t="s">
        <v>320</v>
      </c>
      <c r="F166" t="s">
        <v>17</v>
      </c>
      <c r="G166" s="39">
        <v>45536.916666666664</v>
      </c>
      <c r="H166">
        <v>9</v>
      </c>
      <c r="I166">
        <v>2024</v>
      </c>
      <c r="J166" s="38"/>
      <c r="K166" t="s">
        <v>173</v>
      </c>
      <c r="L166" t="s">
        <v>174</v>
      </c>
      <c r="M166" t="s">
        <v>14</v>
      </c>
      <c r="N166" t="s">
        <v>159</v>
      </c>
      <c r="O166"/>
      <c r="P166" t="s">
        <v>83</v>
      </c>
      <c r="Q166" t="s">
        <v>135</v>
      </c>
      <c r="R166" t="s">
        <v>31</v>
      </c>
      <c r="S166" t="s">
        <v>32</v>
      </c>
      <c r="U166" t="b">
        <v>1</v>
      </c>
      <c r="V166" t="b">
        <v>1</v>
      </c>
      <c r="W166" t="b">
        <v>0</v>
      </c>
      <c r="Y166" s="38"/>
      <c r="AS166"/>
    </row>
    <row r="167" spans="1:45" x14ac:dyDescent="0.3">
      <c r="A167">
        <v>405</v>
      </c>
      <c r="B167" t="s">
        <v>71</v>
      </c>
      <c r="E167" t="s">
        <v>318</v>
      </c>
      <c r="F167" t="s">
        <v>17</v>
      </c>
      <c r="G167" s="39">
        <v>45525.916666666664</v>
      </c>
      <c r="H167">
        <v>8</v>
      </c>
      <c r="I167">
        <v>2024</v>
      </c>
      <c r="J167" s="38"/>
      <c r="K167" t="s">
        <v>316</v>
      </c>
      <c r="L167" t="s">
        <v>323</v>
      </c>
      <c r="M167" t="s">
        <v>317</v>
      </c>
      <c r="N167" t="s">
        <v>159</v>
      </c>
      <c r="O167"/>
      <c r="P167" t="s">
        <v>83</v>
      </c>
      <c r="Q167" t="s">
        <v>310</v>
      </c>
      <c r="R167" t="s">
        <v>87</v>
      </c>
      <c r="S167" t="s">
        <v>79</v>
      </c>
      <c r="U167" t="b">
        <v>0</v>
      </c>
      <c r="V167" t="b">
        <v>1</v>
      </c>
      <c r="W167" t="b">
        <v>1</v>
      </c>
      <c r="Y167" s="38"/>
      <c r="AS167"/>
    </row>
    <row r="168" spans="1:45" x14ac:dyDescent="0.3">
      <c r="A168">
        <v>404</v>
      </c>
      <c r="B168" t="s">
        <v>171</v>
      </c>
      <c r="E168" t="s">
        <v>324</v>
      </c>
      <c r="F168" t="s">
        <v>17</v>
      </c>
      <c r="G168" s="39">
        <v>45534.916666666664</v>
      </c>
      <c r="H168">
        <v>8</v>
      </c>
      <c r="I168">
        <v>2024</v>
      </c>
      <c r="J168" s="38"/>
      <c r="K168" t="s">
        <v>173</v>
      </c>
      <c r="L168" t="s">
        <v>174</v>
      </c>
      <c r="M168" t="s">
        <v>14</v>
      </c>
      <c r="N168" t="s">
        <v>159</v>
      </c>
      <c r="O168"/>
      <c r="P168" t="s">
        <v>172</v>
      </c>
      <c r="Q168" t="s">
        <v>135</v>
      </c>
      <c r="R168" t="s">
        <v>31</v>
      </c>
      <c r="S168" t="s">
        <v>32</v>
      </c>
      <c r="U168" t="b">
        <v>0</v>
      </c>
      <c r="V168" t="b">
        <v>1</v>
      </c>
      <c r="W168" t="b">
        <v>0</v>
      </c>
      <c r="Y168" s="38"/>
      <c r="AS168"/>
    </row>
    <row r="169" spans="1:45" x14ac:dyDescent="0.3">
      <c r="A169">
        <v>403</v>
      </c>
      <c r="B169" t="s">
        <v>156</v>
      </c>
      <c r="E169" t="s">
        <v>714</v>
      </c>
      <c r="F169" t="s">
        <v>711</v>
      </c>
      <c r="G169" s="39">
        <v>45565.916666666664</v>
      </c>
      <c r="H169">
        <v>10</v>
      </c>
      <c r="I169">
        <v>2024</v>
      </c>
      <c r="J169" s="38"/>
      <c r="K169" t="s">
        <v>178</v>
      </c>
      <c r="L169" t="s">
        <v>80</v>
      </c>
      <c r="M169" t="s">
        <v>14</v>
      </c>
      <c r="N169" t="s">
        <v>72</v>
      </c>
      <c r="O169"/>
      <c r="P169" t="s">
        <v>169</v>
      </c>
      <c r="Q169" t="s">
        <v>135</v>
      </c>
      <c r="R169" t="s">
        <v>31</v>
      </c>
      <c r="S169" t="s">
        <v>715</v>
      </c>
      <c r="U169" t="b">
        <v>1</v>
      </c>
      <c r="V169" t="b">
        <v>1</v>
      </c>
      <c r="W169" t="b">
        <v>1</v>
      </c>
      <c r="Y169" s="38"/>
      <c r="AS169"/>
    </row>
    <row r="170" spans="1:45" x14ac:dyDescent="0.3">
      <c r="A170">
        <v>402</v>
      </c>
      <c r="B170" t="s">
        <v>301</v>
      </c>
      <c r="E170" t="s">
        <v>321</v>
      </c>
      <c r="F170" t="s">
        <v>17</v>
      </c>
      <c r="G170" s="39">
        <v>45537.916666666664</v>
      </c>
      <c r="H170">
        <v>9</v>
      </c>
      <c r="I170">
        <v>2024</v>
      </c>
      <c r="J170" s="38"/>
      <c r="K170" t="s">
        <v>178</v>
      </c>
      <c r="L170" t="s">
        <v>80</v>
      </c>
      <c r="M170" t="s">
        <v>123</v>
      </c>
      <c r="N170" t="s">
        <v>269</v>
      </c>
      <c r="O170"/>
      <c r="P170" t="s">
        <v>300</v>
      </c>
      <c r="Q170" t="s">
        <v>266</v>
      </c>
      <c r="R170" t="s">
        <v>267</v>
      </c>
      <c r="S170" t="s">
        <v>32</v>
      </c>
      <c r="U170" t="b">
        <v>1</v>
      </c>
      <c r="V170" t="b">
        <v>1</v>
      </c>
      <c r="W170" t="b">
        <v>1</v>
      </c>
      <c r="Y170" s="38"/>
      <c r="AS170"/>
    </row>
    <row r="171" spans="1:45" x14ac:dyDescent="0.3">
      <c r="A171">
        <v>401</v>
      </c>
      <c r="B171" t="s">
        <v>301</v>
      </c>
      <c r="E171" t="s">
        <v>709</v>
      </c>
      <c r="F171" t="s">
        <v>17</v>
      </c>
      <c r="G171" s="39">
        <v>45563.916666666664</v>
      </c>
      <c r="H171">
        <v>9</v>
      </c>
      <c r="I171">
        <v>2024</v>
      </c>
      <c r="J171" s="38"/>
      <c r="K171" t="s">
        <v>700</v>
      </c>
      <c r="L171" t="s">
        <v>701</v>
      </c>
      <c r="M171" t="s">
        <v>702</v>
      </c>
      <c r="N171" t="s">
        <v>269</v>
      </c>
      <c r="O171"/>
      <c r="P171" t="s">
        <v>710</v>
      </c>
      <c r="Q171" t="s">
        <v>266</v>
      </c>
      <c r="R171" t="s">
        <v>267</v>
      </c>
      <c r="S171" t="s">
        <v>32</v>
      </c>
      <c r="U171" t="b">
        <v>0</v>
      </c>
      <c r="V171" t="b">
        <v>1</v>
      </c>
      <c r="W171" t="b">
        <v>1</v>
      </c>
      <c r="Y171" s="38"/>
      <c r="AS171"/>
    </row>
    <row r="172" spans="1:45" x14ac:dyDescent="0.3">
      <c r="A172">
        <v>400</v>
      </c>
      <c r="B172" t="s">
        <v>71</v>
      </c>
      <c r="E172" t="s">
        <v>315</v>
      </c>
      <c r="F172" t="s">
        <v>17</v>
      </c>
      <c r="G172" s="39">
        <v>45522.916666666664</v>
      </c>
      <c r="H172">
        <v>8</v>
      </c>
      <c r="I172">
        <v>2024</v>
      </c>
      <c r="J172" s="38"/>
      <c r="K172" t="s">
        <v>84</v>
      </c>
      <c r="L172" t="s">
        <v>261</v>
      </c>
      <c r="M172" t="s">
        <v>85</v>
      </c>
      <c r="N172" t="s">
        <v>159</v>
      </c>
      <c r="O172"/>
      <c r="P172" t="s">
        <v>83</v>
      </c>
      <c r="Q172" t="s">
        <v>310</v>
      </c>
      <c r="R172" t="s">
        <v>87</v>
      </c>
      <c r="S172" t="s">
        <v>32</v>
      </c>
      <c r="U172" t="b">
        <v>1</v>
      </c>
      <c r="V172" t="b">
        <v>1</v>
      </c>
      <c r="W172" t="b">
        <v>1</v>
      </c>
      <c r="Y172" s="38"/>
      <c r="AS172"/>
    </row>
    <row r="173" spans="1:45" x14ac:dyDescent="0.3">
      <c r="A173">
        <v>399</v>
      </c>
      <c r="B173" t="s">
        <v>71</v>
      </c>
      <c r="E173" t="s">
        <v>708</v>
      </c>
      <c r="F173" t="s">
        <v>17</v>
      </c>
      <c r="G173" s="39">
        <v>45550.916666666664</v>
      </c>
      <c r="H173">
        <v>9</v>
      </c>
      <c r="I173">
        <v>2024</v>
      </c>
      <c r="J173" s="38"/>
      <c r="K173" t="s">
        <v>125</v>
      </c>
      <c r="L173" t="s">
        <v>126</v>
      </c>
      <c r="M173" t="s">
        <v>123</v>
      </c>
      <c r="N173" t="s">
        <v>165</v>
      </c>
      <c r="O173"/>
      <c r="P173" t="s">
        <v>101</v>
      </c>
      <c r="Q173" t="s">
        <v>139</v>
      </c>
      <c r="R173" t="s">
        <v>117</v>
      </c>
      <c r="S173" t="s">
        <v>32</v>
      </c>
      <c r="U173" t="b">
        <v>1</v>
      </c>
      <c r="V173" t="b">
        <v>1</v>
      </c>
      <c r="W173" t="b">
        <v>1</v>
      </c>
      <c r="Y173" s="38"/>
      <c r="AS173"/>
    </row>
    <row r="174" spans="1:45" x14ac:dyDescent="0.3">
      <c r="A174">
        <v>398</v>
      </c>
      <c r="B174" t="s">
        <v>171</v>
      </c>
      <c r="E174" t="s">
        <v>325</v>
      </c>
      <c r="F174" t="s">
        <v>17</v>
      </c>
      <c r="G174" s="39">
        <v>45535.916666666664</v>
      </c>
      <c r="H174">
        <v>9</v>
      </c>
      <c r="I174">
        <v>2024</v>
      </c>
      <c r="J174" s="38"/>
      <c r="K174" t="s">
        <v>178</v>
      </c>
      <c r="L174" t="s">
        <v>80</v>
      </c>
      <c r="M174" t="s">
        <v>14</v>
      </c>
      <c r="N174" t="s">
        <v>72</v>
      </c>
      <c r="O174"/>
      <c r="P174" t="s">
        <v>170</v>
      </c>
      <c r="Q174" t="s">
        <v>135</v>
      </c>
      <c r="R174" t="s">
        <v>31</v>
      </c>
      <c r="S174" t="s">
        <v>32</v>
      </c>
      <c r="U174" t="b">
        <v>0</v>
      </c>
      <c r="V174" t="b">
        <v>1</v>
      </c>
      <c r="W174" t="b">
        <v>1</v>
      </c>
      <c r="Y174" s="38"/>
      <c r="AS174"/>
    </row>
    <row r="175" spans="1:45" x14ac:dyDescent="0.3">
      <c r="A175">
        <v>397</v>
      </c>
      <c r="B175" t="s">
        <v>71</v>
      </c>
      <c r="E175" t="s">
        <v>328</v>
      </c>
      <c r="F175" t="s">
        <v>17</v>
      </c>
      <c r="G175" s="39">
        <v>45543.916666666664</v>
      </c>
      <c r="H175">
        <v>9</v>
      </c>
      <c r="I175">
        <v>2024</v>
      </c>
      <c r="J175" s="38"/>
      <c r="K175" t="s">
        <v>148</v>
      </c>
      <c r="L175" t="s">
        <v>238</v>
      </c>
      <c r="M175" t="s">
        <v>95</v>
      </c>
      <c r="N175" t="s">
        <v>159</v>
      </c>
      <c r="O175"/>
      <c r="P175" t="s">
        <v>83</v>
      </c>
      <c r="Q175" t="s">
        <v>695</v>
      </c>
      <c r="R175" t="s">
        <v>97</v>
      </c>
      <c r="S175" t="s">
        <v>32</v>
      </c>
      <c r="U175" t="b">
        <v>1</v>
      </c>
      <c r="V175" t="b">
        <v>1</v>
      </c>
      <c r="W175" t="b">
        <v>1</v>
      </c>
      <c r="Y175" s="38"/>
      <c r="AS175"/>
    </row>
    <row r="176" spans="1:45" x14ac:dyDescent="0.3">
      <c r="A176">
        <v>396</v>
      </c>
      <c r="B176" t="s">
        <v>268</v>
      </c>
      <c r="E176" t="s">
        <v>706</v>
      </c>
      <c r="F176" t="s">
        <v>17</v>
      </c>
      <c r="G176" s="39">
        <v>45563.916666666664</v>
      </c>
      <c r="H176">
        <v>9</v>
      </c>
      <c r="I176">
        <v>2024</v>
      </c>
      <c r="J176" s="38"/>
      <c r="K176" t="s">
        <v>700</v>
      </c>
      <c r="L176" t="s">
        <v>701</v>
      </c>
      <c r="M176" t="s">
        <v>702</v>
      </c>
      <c r="N176" t="s">
        <v>269</v>
      </c>
      <c r="O176"/>
      <c r="P176" t="s">
        <v>707</v>
      </c>
      <c r="Q176" t="s">
        <v>266</v>
      </c>
      <c r="R176" t="s">
        <v>267</v>
      </c>
      <c r="S176" t="s">
        <v>32</v>
      </c>
      <c r="U176" t="b">
        <v>1</v>
      </c>
      <c r="V176" t="b">
        <v>1</v>
      </c>
      <c r="W176" t="b">
        <v>1</v>
      </c>
      <c r="Y176" s="38"/>
      <c r="AS176"/>
    </row>
    <row r="177" spans="1:45" x14ac:dyDescent="0.3">
      <c r="A177">
        <v>395</v>
      </c>
      <c r="B177" t="s">
        <v>303</v>
      </c>
      <c r="E177" t="s">
        <v>704</v>
      </c>
      <c r="F177" t="s">
        <v>17</v>
      </c>
      <c r="G177" s="39">
        <v>45537.916666666664</v>
      </c>
      <c r="H177">
        <v>9</v>
      </c>
      <c r="I177">
        <v>2024</v>
      </c>
      <c r="J177" s="38"/>
      <c r="K177" t="s">
        <v>178</v>
      </c>
      <c r="L177" t="s">
        <v>80</v>
      </c>
      <c r="M177" t="s">
        <v>123</v>
      </c>
      <c r="N177" t="s">
        <v>269</v>
      </c>
      <c r="O177"/>
      <c r="P177" t="s">
        <v>302</v>
      </c>
      <c r="Q177" t="s">
        <v>266</v>
      </c>
      <c r="R177" t="s">
        <v>267</v>
      </c>
      <c r="S177" t="s">
        <v>33</v>
      </c>
      <c r="U177" t="b">
        <v>0</v>
      </c>
      <c r="V177" t="b">
        <v>1</v>
      </c>
      <c r="W177" t="b">
        <v>1</v>
      </c>
      <c r="Y177" s="38"/>
      <c r="AS177"/>
    </row>
    <row r="178" spans="1:45" x14ac:dyDescent="0.3">
      <c r="A178">
        <v>394</v>
      </c>
      <c r="B178" t="s">
        <v>298</v>
      </c>
      <c r="E178" t="s">
        <v>703</v>
      </c>
      <c r="F178" t="s">
        <v>17</v>
      </c>
      <c r="G178" s="39">
        <v>45561.916666666664</v>
      </c>
      <c r="H178">
        <v>9</v>
      </c>
      <c r="I178">
        <v>2024</v>
      </c>
      <c r="J178" s="38"/>
      <c r="K178" t="s">
        <v>700</v>
      </c>
      <c r="L178" t="s">
        <v>701</v>
      </c>
      <c r="M178" t="s">
        <v>702</v>
      </c>
      <c r="N178" t="s">
        <v>269</v>
      </c>
      <c r="O178"/>
      <c r="P178" t="s">
        <v>297</v>
      </c>
      <c r="Q178" t="s">
        <v>266</v>
      </c>
      <c r="R178" t="s">
        <v>267</v>
      </c>
      <c r="S178" t="s">
        <v>32</v>
      </c>
      <c r="U178" t="b">
        <v>1</v>
      </c>
      <c r="V178" t="b">
        <v>1</v>
      </c>
      <c r="W178" t="b">
        <v>1</v>
      </c>
      <c r="Y178" s="38"/>
      <c r="AS178"/>
    </row>
    <row r="179" spans="1:45" x14ac:dyDescent="0.3">
      <c r="A179">
        <v>393</v>
      </c>
      <c r="B179" t="s">
        <v>71</v>
      </c>
      <c r="E179" t="s">
        <v>329</v>
      </c>
      <c r="F179" t="s">
        <v>17</v>
      </c>
      <c r="G179" s="39">
        <v>45543.916666666664</v>
      </c>
      <c r="H179">
        <v>9</v>
      </c>
      <c r="I179">
        <v>2024</v>
      </c>
      <c r="J179" s="38"/>
      <c r="K179" t="s">
        <v>255</v>
      </c>
      <c r="L179" t="s">
        <v>256</v>
      </c>
      <c r="M179" t="s">
        <v>14</v>
      </c>
      <c r="N179" t="s">
        <v>72</v>
      </c>
      <c r="O179"/>
      <c r="P179" t="s">
        <v>34</v>
      </c>
      <c r="Q179" t="s">
        <v>257</v>
      </c>
      <c r="R179" t="s">
        <v>31</v>
      </c>
      <c r="S179" t="s">
        <v>32</v>
      </c>
      <c r="U179" t="b">
        <v>1</v>
      </c>
      <c r="V179" t="b">
        <v>1</v>
      </c>
      <c r="W179" t="b">
        <v>1</v>
      </c>
      <c r="Y179" s="38"/>
      <c r="AS179"/>
    </row>
    <row r="180" spans="1:45" x14ac:dyDescent="0.3">
      <c r="A180">
        <v>392</v>
      </c>
      <c r="B180" t="s">
        <v>71</v>
      </c>
      <c r="E180" t="s">
        <v>698</v>
      </c>
      <c r="F180" t="s">
        <v>17</v>
      </c>
      <c r="G180" s="39">
        <v>45557.916666666664</v>
      </c>
      <c r="H180">
        <v>9</v>
      </c>
      <c r="I180">
        <v>2024</v>
      </c>
      <c r="J180" s="38"/>
      <c r="K180" t="s">
        <v>307</v>
      </c>
      <c r="L180" t="s">
        <v>308</v>
      </c>
      <c r="M180" t="s">
        <v>309</v>
      </c>
      <c r="N180" t="s">
        <v>159</v>
      </c>
      <c r="O180"/>
      <c r="P180" t="s">
        <v>83</v>
      </c>
      <c r="Q180" t="s">
        <v>310</v>
      </c>
      <c r="R180" t="s">
        <v>87</v>
      </c>
      <c r="S180" t="s">
        <v>79</v>
      </c>
      <c r="U180" t="b">
        <v>0</v>
      </c>
      <c r="V180" t="b">
        <v>1</v>
      </c>
      <c r="W180" t="b">
        <v>1</v>
      </c>
      <c r="Y180" s="38"/>
      <c r="AS180"/>
    </row>
    <row r="181" spans="1:45" x14ac:dyDescent="0.3">
      <c r="A181">
        <v>391</v>
      </c>
      <c r="B181" t="s">
        <v>303</v>
      </c>
      <c r="E181" t="s">
        <v>705</v>
      </c>
      <c r="F181" t="s">
        <v>17</v>
      </c>
      <c r="G181" s="39">
        <v>45563.916666666664</v>
      </c>
      <c r="H181">
        <v>9</v>
      </c>
      <c r="I181">
        <v>2024</v>
      </c>
      <c r="J181" s="38"/>
      <c r="K181" t="s">
        <v>700</v>
      </c>
      <c r="L181" t="s">
        <v>701</v>
      </c>
      <c r="M181" t="s">
        <v>702</v>
      </c>
      <c r="N181" t="s">
        <v>269</v>
      </c>
      <c r="O181"/>
      <c r="P181" t="s">
        <v>302</v>
      </c>
      <c r="Q181" t="s">
        <v>266</v>
      </c>
      <c r="R181" t="s">
        <v>267</v>
      </c>
      <c r="S181" t="s">
        <v>32</v>
      </c>
      <c r="U181" t="b">
        <v>0</v>
      </c>
      <c r="V181" t="b">
        <v>1</v>
      </c>
      <c r="W181" t="b">
        <v>1</v>
      </c>
      <c r="Y181" s="38"/>
      <c r="AS181"/>
    </row>
    <row r="182" spans="1:45" x14ac:dyDescent="0.3">
      <c r="A182">
        <v>390</v>
      </c>
      <c r="B182" t="s">
        <v>71</v>
      </c>
      <c r="E182" t="s">
        <v>327</v>
      </c>
      <c r="F182" t="s">
        <v>17</v>
      </c>
      <c r="G182" s="39">
        <v>45543.916666666664</v>
      </c>
      <c r="H182">
        <v>9</v>
      </c>
      <c r="I182">
        <v>2024</v>
      </c>
      <c r="J182" s="38"/>
      <c r="K182" t="s">
        <v>175</v>
      </c>
      <c r="L182" t="s">
        <v>176</v>
      </c>
      <c r="M182" t="s">
        <v>123</v>
      </c>
      <c r="N182" t="s">
        <v>72</v>
      </c>
      <c r="O182"/>
      <c r="P182" t="s">
        <v>34</v>
      </c>
      <c r="Q182" t="s">
        <v>222</v>
      </c>
      <c r="R182" t="s">
        <v>223</v>
      </c>
      <c r="S182" t="s">
        <v>32</v>
      </c>
      <c r="U182" t="b">
        <v>1</v>
      </c>
      <c r="V182" t="b">
        <v>1</v>
      </c>
      <c r="W182" t="b">
        <v>1</v>
      </c>
      <c r="Y182" s="38"/>
      <c r="AS182"/>
    </row>
    <row r="183" spans="1:45" x14ac:dyDescent="0.3">
      <c r="A183">
        <v>389</v>
      </c>
      <c r="B183" t="s">
        <v>77</v>
      </c>
      <c r="E183" t="s">
        <v>696</v>
      </c>
      <c r="F183" t="s">
        <v>17</v>
      </c>
      <c r="G183" s="39">
        <v>45551.916666666664</v>
      </c>
      <c r="H183">
        <v>9</v>
      </c>
      <c r="I183">
        <v>2024</v>
      </c>
      <c r="J183" s="38"/>
      <c r="K183" t="s">
        <v>316</v>
      </c>
      <c r="L183" t="s">
        <v>323</v>
      </c>
      <c r="M183" t="s">
        <v>317</v>
      </c>
      <c r="N183" t="s">
        <v>159</v>
      </c>
      <c r="O183"/>
      <c r="P183" t="s">
        <v>153</v>
      </c>
      <c r="Q183" t="s">
        <v>310</v>
      </c>
      <c r="R183" t="s">
        <v>87</v>
      </c>
      <c r="S183" t="s">
        <v>32</v>
      </c>
      <c r="U183" t="b">
        <v>1</v>
      </c>
      <c r="V183" t="b">
        <v>1</v>
      </c>
      <c r="W183" t="b">
        <v>1</v>
      </c>
      <c r="Y183" s="38"/>
      <c r="AS183"/>
    </row>
    <row r="184" spans="1:45" x14ac:dyDescent="0.3">
      <c r="A184">
        <v>388</v>
      </c>
      <c r="B184" t="s">
        <v>71</v>
      </c>
      <c r="E184" t="s">
        <v>697</v>
      </c>
      <c r="F184" t="s">
        <v>17</v>
      </c>
      <c r="G184" s="39">
        <v>45550.916666666664</v>
      </c>
      <c r="H184">
        <v>9</v>
      </c>
      <c r="I184">
        <v>2024</v>
      </c>
      <c r="J184" s="38"/>
      <c r="K184" t="s">
        <v>125</v>
      </c>
      <c r="L184" t="s">
        <v>126</v>
      </c>
      <c r="M184" t="s">
        <v>13</v>
      </c>
      <c r="N184" t="s">
        <v>165</v>
      </c>
      <c r="O184"/>
      <c r="P184" t="s">
        <v>101</v>
      </c>
      <c r="Q184" t="s">
        <v>164</v>
      </c>
      <c r="R184" t="s">
        <v>132</v>
      </c>
      <c r="S184" t="s">
        <v>32</v>
      </c>
      <c r="U184" t="b">
        <v>1</v>
      </c>
      <c r="V184" t="b">
        <v>1</v>
      </c>
      <c r="W184" t="b">
        <v>1</v>
      </c>
      <c r="Y184" s="38"/>
      <c r="AS184"/>
    </row>
    <row r="185" spans="1:45" x14ac:dyDescent="0.3">
      <c r="A185">
        <v>387</v>
      </c>
      <c r="B185" t="s">
        <v>268</v>
      </c>
      <c r="E185" t="s">
        <v>699</v>
      </c>
      <c r="F185" t="s">
        <v>17</v>
      </c>
      <c r="G185" s="39">
        <v>45561.916666666664</v>
      </c>
      <c r="H185">
        <v>9</v>
      </c>
      <c r="I185">
        <v>2024</v>
      </c>
      <c r="J185" s="38"/>
      <c r="K185" t="s">
        <v>700</v>
      </c>
      <c r="L185" t="s">
        <v>701</v>
      </c>
      <c r="M185" t="s">
        <v>702</v>
      </c>
      <c r="N185" t="s">
        <v>269</v>
      </c>
      <c r="O185"/>
      <c r="P185" t="s">
        <v>265</v>
      </c>
      <c r="Q185" t="s">
        <v>266</v>
      </c>
      <c r="R185" t="s">
        <v>267</v>
      </c>
      <c r="S185" t="s">
        <v>32</v>
      </c>
      <c r="U185" t="b">
        <v>1</v>
      </c>
      <c r="V185" t="b">
        <v>1</v>
      </c>
      <c r="W185" t="b">
        <v>1</v>
      </c>
      <c r="Y185" s="38"/>
      <c r="AS185"/>
    </row>
    <row r="186" spans="1:45" x14ac:dyDescent="0.3">
      <c r="A186">
        <v>386</v>
      </c>
      <c r="B186" t="s">
        <v>71</v>
      </c>
      <c r="E186" t="s">
        <v>306</v>
      </c>
      <c r="F186" t="s">
        <v>17</v>
      </c>
      <c r="G186" s="39">
        <v>45531.916666666664</v>
      </c>
      <c r="H186">
        <v>8</v>
      </c>
      <c r="I186">
        <v>2024</v>
      </c>
      <c r="J186" s="38"/>
      <c r="K186" t="s">
        <v>307</v>
      </c>
      <c r="L186" t="s">
        <v>308</v>
      </c>
      <c r="M186" t="s">
        <v>309</v>
      </c>
      <c r="N186" t="s">
        <v>159</v>
      </c>
      <c r="O186"/>
      <c r="P186" t="s">
        <v>83</v>
      </c>
      <c r="Q186" t="s">
        <v>310</v>
      </c>
      <c r="R186" t="s">
        <v>87</v>
      </c>
      <c r="S186" t="s">
        <v>79</v>
      </c>
      <c r="U186" t="b">
        <v>0</v>
      </c>
      <c r="V186" t="b">
        <v>1</v>
      </c>
      <c r="W186" t="b">
        <v>1</v>
      </c>
      <c r="Y186" s="38"/>
      <c r="AS186"/>
    </row>
    <row r="187" spans="1:45" x14ac:dyDescent="0.3">
      <c r="A187">
        <v>385</v>
      </c>
      <c r="B187" t="s">
        <v>71</v>
      </c>
      <c r="E187" t="s">
        <v>306</v>
      </c>
      <c r="F187" t="s">
        <v>17</v>
      </c>
      <c r="G187" s="39">
        <v>45531.916666666664</v>
      </c>
      <c r="H187">
        <v>8</v>
      </c>
      <c r="I187">
        <v>2024</v>
      </c>
      <c r="J187" s="38"/>
      <c r="K187" t="s">
        <v>307</v>
      </c>
      <c r="L187" t="s">
        <v>308</v>
      </c>
      <c r="M187" t="s">
        <v>309</v>
      </c>
      <c r="N187" t="s">
        <v>159</v>
      </c>
      <c r="O187"/>
      <c r="P187" t="s">
        <v>83</v>
      </c>
      <c r="Q187" t="s">
        <v>310</v>
      </c>
      <c r="R187" t="s">
        <v>87</v>
      </c>
      <c r="S187" t="s">
        <v>79</v>
      </c>
      <c r="U187" t="b">
        <v>0</v>
      </c>
      <c r="V187" t="b">
        <v>1</v>
      </c>
      <c r="W187" t="b">
        <v>1</v>
      </c>
      <c r="Y187" s="38"/>
      <c r="AS187"/>
    </row>
    <row r="188" spans="1:45" x14ac:dyDescent="0.3">
      <c r="A188">
        <v>384</v>
      </c>
      <c r="B188" t="s">
        <v>71</v>
      </c>
      <c r="E188" t="s">
        <v>306</v>
      </c>
      <c r="F188" t="s">
        <v>17</v>
      </c>
      <c r="G188" s="39">
        <v>45531.916666666664</v>
      </c>
      <c r="H188">
        <v>8</v>
      </c>
      <c r="I188">
        <v>2024</v>
      </c>
      <c r="J188" s="38"/>
      <c r="K188" t="s">
        <v>307</v>
      </c>
      <c r="L188" t="s">
        <v>308</v>
      </c>
      <c r="M188" t="s">
        <v>309</v>
      </c>
      <c r="N188" t="s">
        <v>159</v>
      </c>
      <c r="O188"/>
      <c r="P188" t="s">
        <v>83</v>
      </c>
      <c r="Q188" t="s">
        <v>310</v>
      </c>
      <c r="R188" t="s">
        <v>87</v>
      </c>
      <c r="S188" t="s">
        <v>79</v>
      </c>
      <c r="U188" t="b">
        <v>0</v>
      </c>
      <c r="V188" t="b">
        <v>1</v>
      </c>
      <c r="W188" t="b">
        <v>1</v>
      </c>
      <c r="Y188" s="38"/>
      <c r="AS188"/>
    </row>
    <row r="189" spans="1:45" x14ac:dyDescent="0.3">
      <c r="A189">
        <v>383</v>
      </c>
      <c r="B189" t="s">
        <v>171</v>
      </c>
      <c r="E189" t="s">
        <v>240</v>
      </c>
      <c r="F189" t="s">
        <v>17</v>
      </c>
      <c r="G189" s="39">
        <v>45225.916666666664</v>
      </c>
      <c r="H189">
        <v>10</v>
      </c>
      <c r="I189">
        <v>2023</v>
      </c>
      <c r="J189" s="38"/>
      <c r="K189" t="s">
        <v>189</v>
      </c>
      <c r="L189" t="s">
        <v>190</v>
      </c>
      <c r="M189" t="s">
        <v>178</v>
      </c>
      <c r="N189" t="s">
        <v>72</v>
      </c>
      <c r="O189"/>
      <c r="P189" t="s">
        <v>170</v>
      </c>
      <c r="Q189" t="s">
        <v>60</v>
      </c>
      <c r="R189" t="s">
        <v>31</v>
      </c>
      <c r="S189" t="s">
        <v>32</v>
      </c>
      <c r="U189" t="b">
        <v>1</v>
      </c>
      <c r="V189" t="b">
        <v>1</v>
      </c>
      <c r="W189" t="b">
        <v>0</v>
      </c>
      <c r="Y189" s="38"/>
      <c r="AS189"/>
    </row>
    <row r="190" spans="1:45" x14ac:dyDescent="0.3">
      <c r="A190">
        <v>382</v>
      </c>
      <c r="B190" t="s">
        <v>200</v>
      </c>
      <c r="E190" t="s">
        <v>241</v>
      </c>
      <c r="F190" t="s">
        <v>17</v>
      </c>
      <c r="G190" s="39">
        <v>45225.916666666664</v>
      </c>
      <c r="H190">
        <v>10</v>
      </c>
      <c r="I190">
        <v>2023</v>
      </c>
      <c r="J190" s="38"/>
      <c r="K190" t="s">
        <v>189</v>
      </c>
      <c r="L190" t="s">
        <v>190</v>
      </c>
      <c r="M190" t="s">
        <v>178</v>
      </c>
      <c r="N190" t="s">
        <v>72</v>
      </c>
      <c r="O190"/>
      <c r="P190" t="s">
        <v>199</v>
      </c>
      <c r="Q190" t="s">
        <v>60</v>
      </c>
      <c r="R190" t="s">
        <v>31</v>
      </c>
      <c r="S190" t="s">
        <v>242</v>
      </c>
      <c r="U190" t="b">
        <v>0</v>
      </c>
      <c r="V190" t="b">
        <v>1</v>
      </c>
      <c r="W190" t="b">
        <v>0</v>
      </c>
      <c r="Y190" s="38"/>
      <c r="AS190"/>
    </row>
    <row r="191" spans="1:45" x14ac:dyDescent="0.3">
      <c r="A191">
        <v>381</v>
      </c>
      <c r="B191" t="s">
        <v>180</v>
      </c>
      <c r="E191" t="s">
        <v>243</v>
      </c>
      <c r="F191" t="s">
        <v>17</v>
      </c>
      <c r="G191" s="39">
        <v>45225.916666666664</v>
      </c>
      <c r="H191">
        <v>10</v>
      </c>
      <c r="I191">
        <v>2023</v>
      </c>
      <c r="J191" s="38"/>
      <c r="K191" t="s">
        <v>189</v>
      </c>
      <c r="L191" t="s">
        <v>190</v>
      </c>
      <c r="M191" t="s">
        <v>178</v>
      </c>
      <c r="N191" t="s">
        <v>72</v>
      </c>
      <c r="O191"/>
      <c r="P191" t="s">
        <v>179</v>
      </c>
      <c r="Q191" t="s">
        <v>60</v>
      </c>
      <c r="R191" t="s">
        <v>31</v>
      </c>
      <c r="S191" t="s">
        <v>33</v>
      </c>
      <c r="U191" t="b">
        <v>0</v>
      </c>
      <c r="V191" t="b">
        <v>1</v>
      </c>
      <c r="W191" t="b">
        <v>0</v>
      </c>
      <c r="Y191" s="38"/>
      <c r="AS191"/>
    </row>
    <row r="192" spans="1:45" x14ac:dyDescent="0.3">
      <c r="A192">
        <v>380</v>
      </c>
      <c r="B192" t="s">
        <v>158</v>
      </c>
      <c r="E192" t="s">
        <v>244</v>
      </c>
      <c r="F192" t="s">
        <v>17</v>
      </c>
      <c r="G192" s="39">
        <v>45225.916666666664</v>
      </c>
      <c r="H192">
        <v>10</v>
      </c>
      <c r="I192">
        <v>2023</v>
      </c>
      <c r="J192" s="38"/>
      <c r="K192" t="s">
        <v>189</v>
      </c>
      <c r="L192" t="s">
        <v>190</v>
      </c>
      <c r="M192" t="s">
        <v>178</v>
      </c>
      <c r="N192" t="s">
        <v>72</v>
      </c>
      <c r="O192"/>
      <c r="P192" t="s">
        <v>157</v>
      </c>
      <c r="Q192" t="s">
        <v>60</v>
      </c>
      <c r="R192" t="s">
        <v>31</v>
      </c>
      <c r="S192" t="s">
        <v>32</v>
      </c>
      <c r="U192" t="b">
        <v>0</v>
      </c>
      <c r="V192" t="b">
        <v>1</v>
      </c>
      <c r="W192" t="b">
        <v>0</v>
      </c>
      <c r="Y192" s="38"/>
      <c r="AS192"/>
    </row>
    <row r="193" spans="1:45" x14ac:dyDescent="0.3">
      <c r="A193">
        <v>379</v>
      </c>
      <c r="B193" t="s">
        <v>71</v>
      </c>
      <c r="E193" t="s">
        <v>245</v>
      </c>
      <c r="F193" t="s">
        <v>17</v>
      </c>
      <c r="G193" s="39">
        <v>45228.958333333336</v>
      </c>
      <c r="H193">
        <v>10</v>
      </c>
      <c r="I193">
        <v>2023</v>
      </c>
      <c r="J193" s="38"/>
      <c r="K193" t="s">
        <v>148</v>
      </c>
      <c r="L193" t="s">
        <v>238</v>
      </c>
      <c r="M193" t="s">
        <v>154</v>
      </c>
      <c r="N193" t="s">
        <v>159</v>
      </c>
      <c r="O193"/>
      <c r="P193" t="s">
        <v>83</v>
      </c>
      <c r="Q193" t="s">
        <v>96</v>
      </c>
      <c r="R193" t="s">
        <v>97</v>
      </c>
      <c r="S193" t="s">
        <v>32</v>
      </c>
      <c r="U193" t="b">
        <v>1</v>
      </c>
      <c r="V193" t="b">
        <v>1</v>
      </c>
      <c r="W193" t="b">
        <v>0</v>
      </c>
      <c r="Y193" s="38"/>
      <c r="AS193"/>
    </row>
    <row r="194" spans="1:45" x14ac:dyDescent="0.3">
      <c r="A194">
        <v>378</v>
      </c>
      <c r="B194" t="s">
        <v>77</v>
      </c>
      <c r="E194" t="s">
        <v>246</v>
      </c>
      <c r="F194" t="s">
        <v>17</v>
      </c>
      <c r="G194" s="39">
        <v>45226.916666666664</v>
      </c>
      <c r="H194">
        <v>10</v>
      </c>
      <c r="I194">
        <v>2023</v>
      </c>
      <c r="J194" s="38"/>
      <c r="K194" t="s">
        <v>189</v>
      </c>
      <c r="L194" t="s">
        <v>190</v>
      </c>
      <c r="M194" t="s">
        <v>178</v>
      </c>
      <c r="N194" t="s">
        <v>72</v>
      </c>
      <c r="O194"/>
      <c r="P194" t="s">
        <v>228</v>
      </c>
      <c r="Q194" t="s">
        <v>60</v>
      </c>
      <c r="R194" t="s">
        <v>31</v>
      </c>
      <c r="S194" t="s">
        <v>32</v>
      </c>
      <c r="U194" t="b">
        <v>1</v>
      </c>
      <c r="V194" t="b">
        <v>1</v>
      </c>
      <c r="W194" t="b">
        <v>0</v>
      </c>
      <c r="Y194" s="38"/>
      <c r="AS194"/>
    </row>
    <row r="195" spans="1:45" x14ac:dyDescent="0.3">
      <c r="A195">
        <v>377</v>
      </c>
      <c r="B195" t="s">
        <v>156</v>
      </c>
      <c r="E195" t="s">
        <v>252</v>
      </c>
      <c r="F195" t="s">
        <v>17</v>
      </c>
      <c r="G195" s="39">
        <v>45226.916666666664</v>
      </c>
      <c r="H195">
        <v>10</v>
      </c>
      <c r="I195">
        <v>2023</v>
      </c>
      <c r="J195" s="38"/>
      <c r="K195" t="s">
        <v>189</v>
      </c>
      <c r="L195" t="s">
        <v>190</v>
      </c>
      <c r="M195" t="s">
        <v>178</v>
      </c>
      <c r="N195" t="s">
        <v>72</v>
      </c>
      <c r="O195"/>
      <c r="P195" t="s">
        <v>169</v>
      </c>
      <c r="Q195" t="s">
        <v>60</v>
      </c>
      <c r="R195" t="s">
        <v>31</v>
      </c>
      <c r="S195" t="s">
        <v>33</v>
      </c>
      <c r="U195" t="b">
        <v>1</v>
      </c>
      <c r="V195" t="b">
        <v>1</v>
      </c>
      <c r="W195" t="b">
        <v>0</v>
      </c>
      <c r="Y195" s="38"/>
      <c r="AS195"/>
    </row>
    <row r="196" spans="1:45" x14ac:dyDescent="0.3">
      <c r="A196">
        <v>376</v>
      </c>
      <c r="B196" t="s">
        <v>200</v>
      </c>
      <c r="E196" t="s">
        <v>250</v>
      </c>
      <c r="F196" t="s">
        <v>17</v>
      </c>
      <c r="G196" s="39">
        <v>45232.958333333336</v>
      </c>
      <c r="H196">
        <v>11</v>
      </c>
      <c r="I196">
        <v>2023</v>
      </c>
      <c r="J196" s="38"/>
      <c r="K196" t="s">
        <v>14</v>
      </c>
      <c r="L196" t="s">
        <v>99</v>
      </c>
      <c r="M196" t="s">
        <v>112</v>
      </c>
      <c r="N196" t="s">
        <v>72</v>
      </c>
      <c r="O196"/>
      <c r="P196" t="s">
        <v>199</v>
      </c>
      <c r="Q196" t="s">
        <v>135</v>
      </c>
      <c r="R196" t="s">
        <v>31</v>
      </c>
      <c r="S196" t="s">
        <v>242</v>
      </c>
      <c r="U196" t="b">
        <v>0</v>
      </c>
      <c r="V196" t="b">
        <v>1</v>
      </c>
      <c r="W196" t="b">
        <v>0</v>
      </c>
      <c r="Y196" s="38"/>
      <c r="AS196"/>
    </row>
    <row r="197" spans="1:45" x14ac:dyDescent="0.3">
      <c r="A197">
        <v>375</v>
      </c>
      <c r="B197" t="s">
        <v>158</v>
      </c>
      <c r="E197" t="s">
        <v>254</v>
      </c>
      <c r="F197" t="s">
        <v>17</v>
      </c>
      <c r="G197" s="39">
        <v>45234.958333333336</v>
      </c>
      <c r="H197">
        <v>11</v>
      </c>
      <c r="I197">
        <v>2023</v>
      </c>
      <c r="J197" s="38"/>
      <c r="K197" t="s">
        <v>255</v>
      </c>
      <c r="L197" t="s">
        <v>256</v>
      </c>
      <c r="M197" t="s">
        <v>14</v>
      </c>
      <c r="N197" t="s">
        <v>72</v>
      </c>
      <c r="O197"/>
      <c r="P197" t="s">
        <v>157</v>
      </c>
      <c r="Q197" t="s">
        <v>257</v>
      </c>
      <c r="R197" t="s">
        <v>31</v>
      </c>
      <c r="S197" t="s">
        <v>32</v>
      </c>
      <c r="U197" t="b">
        <v>0</v>
      </c>
      <c r="V197" t="b">
        <v>1</v>
      </c>
      <c r="W197" t="b">
        <v>0</v>
      </c>
      <c r="Y197" s="38"/>
      <c r="AS197"/>
    </row>
    <row r="198" spans="1:45" x14ac:dyDescent="0.3">
      <c r="A198">
        <v>374</v>
      </c>
      <c r="B198" t="s">
        <v>71</v>
      </c>
      <c r="E198" t="s">
        <v>259</v>
      </c>
      <c r="F198" t="s">
        <v>17</v>
      </c>
      <c r="G198" s="39">
        <v>45235.958333333336</v>
      </c>
      <c r="H198">
        <v>11</v>
      </c>
      <c r="I198">
        <v>2023</v>
      </c>
      <c r="J198" s="38"/>
      <c r="K198" t="s">
        <v>127</v>
      </c>
      <c r="L198" t="s">
        <v>150</v>
      </c>
      <c r="M198" t="s">
        <v>128</v>
      </c>
      <c r="N198" t="s">
        <v>72</v>
      </c>
      <c r="O198"/>
      <c r="P198" t="s">
        <v>34</v>
      </c>
      <c r="Q198" t="s">
        <v>129</v>
      </c>
      <c r="R198" t="s">
        <v>12</v>
      </c>
      <c r="S198" t="s">
        <v>32</v>
      </c>
      <c r="U198" t="b">
        <v>1</v>
      </c>
      <c r="V198" t="b">
        <v>1</v>
      </c>
      <c r="W198" t="b">
        <v>0</v>
      </c>
      <c r="Y198" s="38"/>
      <c r="AS198"/>
    </row>
    <row r="199" spans="1:45" x14ac:dyDescent="0.3">
      <c r="A199">
        <v>373</v>
      </c>
      <c r="B199" t="s">
        <v>156</v>
      </c>
      <c r="E199" t="s">
        <v>260</v>
      </c>
      <c r="F199" t="s">
        <v>17</v>
      </c>
      <c r="G199" s="39">
        <v>45243.958333333336</v>
      </c>
      <c r="H199">
        <v>11</v>
      </c>
      <c r="I199">
        <v>2023</v>
      </c>
      <c r="J199" s="38"/>
      <c r="K199" t="s">
        <v>84</v>
      </c>
      <c r="L199" t="s">
        <v>261</v>
      </c>
      <c r="M199" t="s">
        <v>85</v>
      </c>
      <c r="N199" t="s">
        <v>159</v>
      </c>
      <c r="O199"/>
      <c r="P199" t="s">
        <v>155</v>
      </c>
      <c r="Q199" t="s">
        <v>86</v>
      </c>
      <c r="R199" t="s">
        <v>87</v>
      </c>
      <c r="S199" t="s">
        <v>32</v>
      </c>
      <c r="U199" t="b">
        <v>1</v>
      </c>
      <c r="V199" t="b">
        <v>1</v>
      </c>
      <c r="W199" t="b">
        <v>0</v>
      </c>
      <c r="Y199" s="38"/>
      <c r="AS199"/>
    </row>
    <row r="200" spans="1:45" x14ac:dyDescent="0.3">
      <c r="A200">
        <v>372</v>
      </c>
      <c r="B200" t="s">
        <v>77</v>
      </c>
      <c r="E200" t="s">
        <v>262</v>
      </c>
      <c r="F200" t="s">
        <v>17</v>
      </c>
      <c r="G200" s="39">
        <v>45243.958333333336</v>
      </c>
      <c r="H200">
        <v>11</v>
      </c>
      <c r="I200">
        <v>2023</v>
      </c>
      <c r="J200" s="38"/>
      <c r="K200" t="s">
        <v>118</v>
      </c>
      <c r="L200" t="s">
        <v>119</v>
      </c>
      <c r="M200" t="s">
        <v>120</v>
      </c>
      <c r="N200" t="s">
        <v>159</v>
      </c>
      <c r="O200"/>
      <c r="P200" t="s">
        <v>153</v>
      </c>
      <c r="Q200" t="s">
        <v>263</v>
      </c>
      <c r="R200" t="s">
        <v>87</v>
      </c>
      <c r="S200" t="s">
        <v>32</v>
      </c>
      <c r="U200" t="b">
        <v>1</v>
      </c>
      <c r="V200" t="b">
        <v>1</v>
      </c>
      <c r="W200" t="b">
        <v>1</v>
      </c>
      <c r="Y200" s="38"/>
      <c r="AS200"/>
    </row>
    <row r="201" spans="1:45" x14ac:dyDescent="0.3">
      <c r="A201">
        <v>371</v>
      </c>
      <c r="B201" t="s">
        <v>71</v>
      </c>
      <c r="E201" t="s">
        <v>253</v>
      </c>
      <c r="F201" t="s">
        <v>17</v>
      </c>
      <c r="G201" s="39">
        <v>45244.958333333336</v>
      </c>
      <c r="H201">
        <v>11</v>
      </c>
      <c r="I201">
        <v>2023</v>
      </c>
      <c r="J201" s="38"/>
      <c r="K201" t="s">
        <v>133</v>
      </c>
      <c r="L201" t="s">
        <v>134</v>
      </c>
      <c r="M201" t="s">
        <v>123</v>
      </c>
      <c r="N201" t="s">
        <v>72</v>
      </c>
      <c r="O201"/>
      <c r="P201" t="s">
        <v>34</v>
      </c>
      <c r="Q201" t="s">
        <v>135</v>
      </c>
      <c r="R201" t="s">
        <v>7</v>
      </c>
      <c r="S201" t="s">
        <v>32</v>
      </c>
      <c r="U201" t="b">
        <v>1</v>
      </c>
      <c r="V201" t="b">
        <v>1</v>
      </c>
      <c r="W201" t="b">
        <v>1</v>
      </c>
      <c r="Y201" s="38"/>
      <c r="AS201"/>
    </row>
    <row r="202" spans="1:45" x14ac:dyDescent="0.3">
      <c r="A202">
        <v>370</v>
      </c>
      <c r="B202" t="s">
        <v>71</v>
      </c>
      <c r="E202" t="s">
        <v>272</v>
      </c>
      <c r="F202" t="s">
        <v>17</v>
      </c>
      <c r="G202" s="39">
        <v>45256.958333333336</v>
      </c>
      <c r="H202">
        <v>11</v>
      </c>
      <c r="I202">
        <v>2023</v>
      </c>
      <c r="J202" s="38"/>
      <c r="K202" t="s">
        <v>113</v>
      </c>
      <c r="L202" t="s">
        <v>114</v>
      </c>
      <c r="M202" t="s">
        <v>115</v>
      </c>
      <c r="N202" t="s">
        <v>177</v>
      </c>
      <c r="O202"/>
      <c r="P202" t="s">
        <v>107</v>
      </c>
      <c r="Q202" t="s">
        <v>116</v>
      </c>
      <c r="R202" t="s">
        <v>117</v>
      </c>
      <c r="S202" t="s">
        <v>32</v>
      </c>
      <c r="U202" t="b">
        <v>1</v>
      </c>
      <c r="V202" t="b">
        <v>1</v>
      </c>
      <c r="W202" t="b">
        <v>1</v>
      </c>
      <c r="Y202" s="38"/>
      <c r="AS202"/>
    </row>
    <row r="203" spans="1:45" x14ac:dyDescent="0.3">
      <c r="A203">
        <v>369</v>
      </c>
      <c r="B203" t="s">
        <v>71</v>
      </c>
      <c r="E203" t="s">
        <v>273</v>
      </c>
      <c r="F203" t="s">
        <v>17</v>
      </c>
      <c r="G203" s="39">
        <v>45254.958333333336</v>
      </c>
      <c r="H203">
        <v>11</v>
      </c>
      <c r="I203">
        <v>2023</v>
      </c>
      <c r="J203" s="38"/>
      <c r="K203" t="s">
        <v>102</v>
      </c>
      <c r="L203" t="s">
        <v>103</v>
      </c>
      <c r="M203" t="s">
        <v>274</v>
      </c>
      <c r="N203" t="s">
        <v>177</v>
      </c>
      <c r="O203"/>
      <c r="P203" t="s">
        <v>107</v>
      </c>
      <c r="Q203" t="s">
        <v>135</v>
      </c>
      <c r="R203" t="s">
        <v>221</v>
      </c>
      <c r="S203" t="s">
        <v>33</v>
      </c>
      <c r="U203" t="b">
        <v>1</v>
      </c>
      <c r="V203" t="b">
        <v>1</v>
      </c>
      <c r="W203" t="b">
        <v>0</v>
      </c>
      <c r="Y203" s="38"/>
      <c r="AS203"/>
    </row>
    <row r="204" spans="1:45" x14ac:dyDescent="0.3">
      <c r="A204">
        <v>368</v>
      </c>
      <c r="B204" t="s">
        <v>71</v>
      </c>
      <c r="E204" t="s">
        <v>235</v>
      </c>
      <c r="F204" t="s">
        <v>17</v>
      </c>
      <c r="G204" s="39">
        <v>45249.958333333336</v>
      </c>
      <c r="H204">
        <v>11</v>
      </c>
      <c r="I204">
        <v>2023</v>
      </c>
      <c r="J204" s="38"/>
      <c r="K204" t="s">
        <v>175</v>
      </c>
      <c r="L204" t="s">
        <v>176</v>
      </c>
      <c r="M204" t="s">
        <v>123</v>
      </c>
      <c r="N204" t="s">
        <v>72</v>
      </c>
      <c r="O204"/>
      <c r="P204" t="s">
        <v>34</v>
      </c>
      <c r="Q204" t="s">
        <v>222</v>
      </c>
      <c r="R204" t="s">
        <v>223</v>
      </c>
      <c r="S204" t="s">
        <v>78</v>
      </c>
      <c r="U204" t="b">
        <v>0</v>
      </c>
      <c r="V204" t="b">
        <v>1</v>
      </c>
      <c r="W204" t="b">
        <v>1</v>
      </c>
      <c r="Y204" s="38"/>
      <c r="AS204"/>
    </row>
    <row r="205" spans="1:45" x14ac:dyDescent="0.3">
      <c r="A205">
        <v>367</v>
      </c>
      <c r="B205" t="s">
        <v>71</v>
      </c>
      <c r="E205" t="s">
        <v>275</v>
      </c>
      <c r="F205" t="s">
        <v>17</v>
      </c>
      <c r="G205" s="39">
        <v>45253.958333333336</v>
      </c>
      <c r="H205">
        <v>11</v>
      </c>
      <c r="I205">
        <v>2023</v>
      </c>
      <c r="J205" s="38"/>
      <c r="K205" t="s">
        <v>160</v>
      </c>
      <c r="L205" t="s">
        <v>161</v>
      </c>
      <c r="M205" t="s">
        <v>162</v>
      </c>
      <c r="N205" t="s">
        <v>159</v>
      </c>
      <c r="O205"/>
      <c r="P205" t="s">
        <v>83</v>
      </c>
      <c r="Q205" t="s">
        <v>163</v>
      </c>
      <c r="R205" t="s">
        <v>87</v>
      </c>
      <c r="S205" t="s">
        <v>78</v>
      </c>
      <c r="U205" t="b">
        <v>0</v>
      </c>
      <c r="V205" t="b">
        <v>1</v>
      </c>
      <c r="W205" t="b">
        <v>1</v>
      </c>
      <c r="Y205" s="38"/>
      <c r="AS205"/>
    </row>
    <row r="206" spans="1:45" x14ac:dyDescent="0.3">
      <c r="A206">
        <v>366</v>
      </c>
      <c r="B206" t="s">
        <v>71</v>
      </c>
      <c r="E206" t="s">
        <v>276</v>
      </c>
      <c r="F206" t="s">
        <v>17</v>
      </c>
      <c r="G206" s="39">
        <v>45253.958333333336</v>
      </c>
      <c r="H206">
        <v>11</v>
      </c>
      <c r="I206">
        <v>2023</v>
      </c>
      <c r="J206" s="38"/>
      <c r="K206" t="s">
        <v>175</v>
      </c>
      <c r="L206" t="s">
        <v>176</v>
      </c>
      <c r="M206" t="s">
        <v>14</v>
      </c>
      <c r="N206" t="s">
        <v>177</v>
      </c>
      <c r="O206"/>
      <c r="P206" t="s">
        <v>107</v>
      </c>
      <c r="Q206" t="s">
        <v>145</v>
      </c>
      <c r="R206" t="s">
        <v>12</v>
      </c>
      <c r="S206" t="s">
        <v>78</v>
      </c>
      <c r="U206" t="b">
        <v>0</v>
      </c>
      <c r="V206" t="b">
        <v>1</v>
      </c>
      <c r="W206" t="b">
        <v>1</v>
      </c>
      <c r="Y206" s="38"/>
      <c r="AS206"/>
    </row>
    <row r="207" spans="1:45" x14ac:dyDescent="0.3">
      <c r="A207">
        <v>365</v>
      </c>
      <c r="B207" t="s">
        <v>187</v>
      </c>
      <c r="E207" t="s">
        <v>277</v>
      </c>
      <c r="F207" t="s">
        <v>17</v>
      </c>
      <c r="G207" s="39">
        <v>45256.958333333336</v>
      </c>
      <c r="H207">
        <v>11</v>
      </c>
      <c r="I207">
        <v>2023</v>
      </c>
      <c r="J207" s="38"/>
      <c r="K207" t="s">
        <v>175</v>
      </c>
      <c r="L207" t="s">
        <v>176</v>
      </c>
      <c r="M207" t="s">
        <v>14</v>
      </c>
      <c r="N207" t="s">
        <v>177</v>
      </c>
      <c r="O207"/>
      <c r="P207" t="s">
        <v>186</v>
      </c>
      <c r="Q207" t="s">
        <v>145</v>
      </c>
      <c r="R207" t="s">
        <v>12</v>
      </c>
      <c r="S207" t="s">
        <v>32</v>
      </c>
      <c r="U207" t="b">
        <v>1</v>
      </c>
      <c r="V207" t="b">
        <v>1</v>
      </c>
      <c r="W207" t="b">
        <v>1</v>
      </c>
      <c r="Y207" s="38"/>
      <c r="AS207"/>
    </row>
    <row r="208" spans="1:45" x14ac:dyDescent="0.3">
      <c r="A208">
        <v>364</v>
      </c>
      <c r="B208" t="s">
        <v>171</v>
      </c>
      <c r="E208" t="s">
        <v>278</v>
      </c>
      <c r="F208" t="s">
        <v>17</v>
      </c>
      <c r="G208" s="39">
        <v>45258.958333333336</v>
      </c>
      <c r="H208">
        <v>11</v>
      </c>
      <c r="I208">
        <v>2023</v>
      </c>
      <c r="J208" s="38"/>
      <c r="K208" t="s">
        <v>178</v>
      </c>
      <c r="L208" t="s">
        <v>80</v>
      </c>
      <c r="M208" t="s">
        <v>14</v>
      </c>
      <c r="N208" t="s">
        <v>72</v>
      </c>
      <c r="O208"/>
      <c r="P208" t="s">
        <v>170</v>
      </c>
      <c r="Q208" t="s">
        <v>135</v>
      </c>
      <c r="R208" t="s">
        <v>31</v>
      </c>
      <c r="S208" t="s">
        <v>32</v>
      </c>
      <c r="U208" t="b">
        <v>0</v>
      </c>
      <c r="V208" t="b">
        <v>1</v>
      </c>
      <c r="W208" t="b">
        <v>0</v>
      </c>
      <c r="Y208" s="38"/>
      <c r="AS208"/>
    </row>
    <row r="209" spans="1:45" x14ac:dyDescent="0.3">
      <c r="A209">
        <v>363</v>
      </c>
      <c r="B209" t="s">
        <v>71</v>
      </c>
      <c r="E209" t="s">
        <v>279</v>
      </c>
      <c r="F209" t="s">
        <v>17</v>
      </c>
      <c r="G209" s="39">
        <v>45258.958333333336</v>
      </c>
      <c r="H209">
        <v>11</v>
      </c>
      <c r="I209">
        <v>2023</v>
      </c>
      <c r="J209" s="38"/>
      <c r="K209" t="s">
        <v>178</v>
      </c>
      <c r="L209" t="s">
        <v>80</v>
      </c>
      <c r="M209" t="s">
        <v>14</v>
      </c>
      <c r="N209" t="s">
        <v>72</v>
      </c>
      <c r="O209"/>
      <c r="P209" t="s">
        <v>34</v>
      </c>
      <c r="Q209" t="s">
        <v>135</v>
      </c>
      <c r="R209" t="s">
        <v>31</v>
      </c>
      <c r="S209" t="s">
        <v>32</v>
      </c>
      <c r="U209" t="b">
        <v>1</v>
      </c>
      <c r="V209" t="b">
        <v>1</v>
      </c>
      <c r="W209" t="b">
        <v>0</v>
      </c>
      <c r="Y209" s="38"/>
      <c r="AS209"/>
    </row>
    <row r="210" spans="1:45" x14ac:dyDescent="0.3">
      <c r="A210">
        <v>362</v>
      </c>
      <c r="B210" t="s">
        <v>71</v>
      </c>
      <c r="E210" t="s">
        <v>280</v>
      </c>
      <c r="F210" t="s">
        <v>17</v>
      </c>
      <c r="G210" s="39">
        <v>45259.958333333336</v>
      </c>
      <c r="H210">
        <v>11</v>
      </c>
      <c r="I210">
        <v>2023</v>
      </c>
      <c r="J210" s="38"/>
      <c r="K210" t="s">
        <v>82</v>
      </c>
      <c r="L210" t="s">
        <v>281</v>
      </c>
      <c r="M210" t="s">
        <v>282</v>
      </c>
      <c r="N210" t="s">
        <v>285</v>
      </c>
      <c r="O210"/>
      <c r="P210" t="s">
        <v>138</v>
      </c>
      <c r="Q210" t="s">
        <v>283</v>
      </c>
      <c r="R210" t="s">
        <v>284</v>
      </c>
      <c r="S210" t="s">
        <v>32</v>
      </c>
      <c r="U210" t="b">
        <v>1</v>
      </c>
      <c r="V210" t="b">
        <v>1</v>
      </c>
      <c r="W210" t="b">
        <v>0</v>
      </c>
      <c r="Y210" s="38"/>
      <c r="AS210"/>
    </row>
    <row r="211" spans="1:45" x14ac:dyDescent="0.3">
      <c r="A211">
        <v>361</v>
      </c>
      <c r="B211" t="s">
        <v>71</v>
      </c>
      <c r="E211" t="s">
        <v>286</v>
      </c>
      <c r="F211" t="s">
        <v>17</v>
      </c>
      <c r="G211" s="39">
        <v>45270.958333333336</v>
      </c>
      <c r="H211">
        <v>12</v>
      </c>
      <c r="I211">
        <v>2023</v>
      </c>
      <c r="J211" s="38"/>
      <c r="K211" t="s">
        <v>84</v>
      </c>
      <c r="L211" t="s">
        <v>261</v>
      </c>
      <c r="M211" t="s">
        <v>282</v>
      </c>
      <c r="N211" t="s">
        <v>159</v>
      </c>
      <c r="O211"/>
      <c r="P211" t="s">
        <v>83</v>
      </c>
      <c r="Q211" t="s">
        <v>283</v>
      </c>
      <c r="R211" t="s">
        <v>284</v>
      </c>
      <c r="S211" t="s">
        <v>32</v>
      </c>
      <c r="U211" t="b">
        <v>1</v>
      </c>
      <c r="V211" t="b">
        <v>1</v>
      </c>
      <c r="W211" t="b">
        <v>0</v>
      </c>
      <c r="Y211" s="38"/>
      <c r="AS211"/>
    </row>
    <row r="212" spans="1:45" x14ac:dyDescent="0.3">
      <c r="A212">
        <v>360</v>
      </c>
      <c r="B212" t="s">
        <v>71</v>
      </c>
      <c r="E212" t="s">
        <v>287</v>
      </c>
      <c r="F212" t="s">
        <v>17</v>
      </c>
      <c r="G212" s="39">
        <v>45267.958333333336</v>
      </c>
      <c r="H212">
        <v>12</v>
      </c>
      <c r="I212">
        <v>2023</v>
      </c>
      <c r="J212" s="38"/>
      <c r="K212" t="s">
        <v>151</v>
      </c>
      <c r="L212" t="s">
        <v>288</v>
      </c>
      <c r="M212" t="s">
        <v>90</v>
      </c>
      <c r="N212" t="s">
        <v>159</v>
      </c>
      <c r="O212"/>
      <c r="P212" t="s">
        <v>83</v>
      </c>
      <c r="Q212" t="s">
        <v>91</v>
      </c>
      <c r="R212" t="s">
        <v>92</v>
      </c>
      <c r="S212" t="s">
        <v>32</v>
      </c>
      <c r="U212" t="b">
        <v>1</v>
      </c>
      <c r="V212" t="b">
        <v>1</v>
      </c>
      <c r="W212" t="b">
        <v>0</v>
      </c>
      <c r="Y212" s="38"/>
      <c r="AS212"/>
    </row>
    <row r="213" spans="1:45" x14ac:dyDescent="0.3">
      <c r="A213">
        <v>359</v>
      </c>
      <c r="B213" t="s">
        <v>71</v>
      </c>
      <c r="E213" t="s">
        <v>289</v>
      </c>
      <c r="F213" t="s">
        <v>17</v>
      </c>
      <c r="G213" s="39">
        <v>45270.958333333336</v>
      </c>
      <c r="H213">
        <v>12</v>
      </c>
      <c r="I213">
        <v>2023</v>
      </c>
      <c r="J213" s="38"/>
      <c r="K213" t="s">
        <v>121</v>
      </c>
      <c r="L213" t="s">
        <v>122</v>
      </c>
      <c r="M213" t="s">
        <v>14</v>
      </c>
      <c r="N213" t="s">
        <v>72</v>
      </c>
      <c r="O213"/>
      <c r="P213" t="s">
        <v>34</v>
      </c>
      <c r="Q213" t="s">
        <v>290</v>
      </c>
      <c r="R213" t="s">
        <v>12</v>
      </c>
      <c r="S213" t="s">
        <v>32</v>
      </c>
      <c r="U213" t="b">
        <v>1</v>
      </c>
      <c r="V213" t="b">
        <v>1</v>
      </c>
      <c r="W213" t="b">
        <v>0</v>
      </c>
      <c r="Y213" s="38"/>
      <c r="AS213"/>
    </row>
    <row r="214" spans="1:45" x14ac:dyDescent="0.3">
      <c r="A214">
        <v>358</v>
      </c>
      <c r="B214" t="s">
        <v>71</v>
      </c>
      <c r="E214" t="s">
        <v>291</v>
      </c>
      <c r="F214" t="s">
        <v>17</v>
      </c>
      <c r="G214" s="39">
        <v>45267.958333333336</v>
      </c>
      <c r="H214">
        <v>12</v>
      </c>
      <c r="I214">
        <v>2023</v>
      </c>
      <c r="J214" s="38"/>
      <c r="K214" t="s">
        <v>121</v>
      </c>
      <c r="L214" t="s">
        <v>122</v>
      </c>
      <c r="M214" t="s">
        <v>123</v>
      </c>
      <c r="N214" t="s">
        <v>165</v>
      </c>
      <c r="O214"/>
      <c r="P214" t="s">
        <v>101</v>
      </c>
      <c r="Q214" t="s">
        <v>149</v>
      </c>
      <c r="R214" t="s">
        <v>124</v>
      </c>
      <c r="S214" t="s">
        <v>32</v>
      </c>
      <c r="U214" t="b">
        <v>1</v>
      </c>
      <c r="V214" t="b">
        <v>1</v>
      </c>
      <c r="W214" t="b">
        <v>0</v>
      </c>
      <c r="Y214" s="38"/>
      <c r="AS214"/>
    </row>
    <row r="215" spans="1:45" x14ac:dyDescent="0.3">
      <c r="A215">
        <v>357</v>
      </c>
      <c r="B215" t="s">
        <v>71</v>
      </c>
      <c r="E215" t="s">
        <v>292</v>
      </c>
      <c r="F215" t="s">
        <v>17</v>
      </c>
      <c r="G215" s="39">
        <v>45270.958333333336</v>
      </c>
      <c r="H215">
        <v>12</v>
      </c>
      <c r="I215">
        <v>2023</v>
      </c>
      <c r="J215" s="38"/>
      <c r="K215" t="s">
        <v>102</v>
      </c>
      <c r="L215" t="s">
        <v>103</v>
      </c>
      <c r="M215" t="s">
        <v>104</v>
      </c>
      <c r="N215" t="s">
        <v>159</v>
      </c>
      <c r="O215"/>
      <c r="P215" t="s">
        <v>83</v>
      </c>
      <c r="Q215" t="s">
        <v>105</v>
      </c>
      <c r="R215" t="s">
        <v>87</v>
      </c>
      <c r="S215" t="s">
        <v>33</v>
      </c>
      <c r="U215" t="b">
        <v>1</v>
      </c>
      <c r="V215" t="b">
        <v>1</v>
      </c>
      <c r="W215" t="b">
        <v>1</v>
      </c>
      <c r="Y215" s="38"/>
      <c r="AS215"/>
    </row>
    <row r="216" spans="1:45" x14ac:dyDescent="0.3">
      <c r="A216">
        <v>356</v>
      </c>
      <c r="B216" t="s">
        <v>71</v>
      </c>
      <c r="E216" t="s">
        <v>293</v>
      </c>
      <c r="F216" t="s">
        <v>17</v>
      </c>
      <c r="G216" s="39">
        <v>45277.958333333336</v>
      </c>
      <c r="H216">
        <v>12</v>
      </c>
      <c r="I216">
        <v>2023</v>
      </c>
      <c r="J216" s="38"/>
      <c r="K216" t="s">
        <v>102</v>
      </c>
      <c r="L216" t="s">
        <v>103</v>
      </c>
      <c r="M216" t="s">
        <v>130</v>
      </c>
      <c r="N216" t="s">
        <v>165</v>
      </c>
      <c r="O216"/>
      <c r="P216" t="s">
        <v>101</v>
      </c>
      <c r="Q216" t="s">
        <v>131</v>
      </c>
      <c r="R216" t="s">
        <v>124</v>
      </c>
      <c r="S216" t="s">
        <v>32</v>
      </c>
      <c r="U216" t="b">
        <v>1</v>
      </c>
      <c r="V216" t="b">
        <v>1</v>
      </c>
      <c r="W216" t="b">
        <v>1</v>
      </c>
      <c r="Y216" s="38"/>
      <c r="AS216"/>
    </row>
    <row r="217" spans="1:45" x14ac:dyDescent="0.3">
      <c r="A217">
        <v>355</v>
      </c>
      <c r="B217" t="s">
        <v>77</v>
      </c>
      <c r="E217" t="s">
        <v>294</v>
      </c>
      <c r="F217" t="s">
        <v>17</v>
      </c>
      <c r="G217" s="39">
        <v>45266.958333333336</v>
      </c>
      <c r="H217">
        <v>12</v>
      </c>
      <c r="I217">
        <v>2023</v>
      </c>
      <c r="J217" s="38"/>
      <c r="K217" t="s">
        <v>178</v>
      </c>
      <c r="L217" t="s">
        <v>80</v>
      </c>
      <c r="M217" t="s">
        <v>14</v>
      </c>
      <c r="N217" t="s">
        <v>72</v>
      </c>
      <c r="O217"/>
      <c r="P217" t="s">
        <v>228</v>
      </c>
      <c r="Q217" t="s">
        <v>135</v>
      </c>
      <c r="R217" t="s">
        <v>31</v>
      </c>
      <c r="S217" t="s">
        <v>32</v>
      </c>
      <c r="U217" t="b">
        <v>1</v>
      </c>
      <c r="V217" t="b">
        <v>1</v>
      </c>
      <c r="W217" t="b">
        <v>1</v>
      </c>
      <c r="Y217" s="38"/>
      <c r="AS217"/>
    </row>
    <row r="218" spans="1:45" x14ac:dyDescent="0.3">
      <c r="A218">
        <v>354</v>
      </c>
      <c r="B218" t="s">
        <v>71</v>
      </c>
      <c r="E218" t="s">
        <v>295</v>
      </c>
      <c r="F218" t="s">
        <v>17</v>
      </c>
      <c r="G218" s="39">
        <v>45277.958333333336</v>
      </c>
      <c r="H218">
        <v>12</v>
      </c>
      <c r="I218">
        <v>2023</v>
      </c>
      <c r="J218" s="38"/>
      <c r="K218" t="s">
        <v>102</v>
      </c>
      <c r="L218" t="s">
        <v>103</v>
      </c>
      <c r="M218" t="s">
        <v>112</v>
      </c>
      <c r="N218" t="s">
        <v>72</v>
      </c>
      <c r="O218"/>
      <c r="P218" t="s">
        <v>34</v>
      </c>
      <c r="Q218" t="s">
        <v>135</v>
      </c>
      <c r="R218" t="s">
        <v>7</v>
      </c>
      <c r="S218" t="s">
        <v>32</v>
      </c>
      <c r="U218" t="b">
        <v>1</v>
      </c>
      <c r="V218" t="b">
        <v>1</v>
      </c>
      <c r="W218" t="b">
        <v>0</v>
      </c>
      <c r="Y218" s="38"/>
      <c r="AS218"/>
    </row>
    <row r="219" spans="1:45" x14ac:dyDescent="0.3">
      <c r="A219">
        <v>353</v>
      </c>
      <c r="B219" t="s">
        <v>268</v>
      </c>
      <c r="E219" t="s">
        <v>264</v>
      </c>
      <c r="F219" t="s">
        <v>17</v>
      </c>
      <c r="G219" s="39">
        <v>45244.958333333336</v>
      </c>
      <c r="H219">
        <v>11</v>
      </c>
      <c r="I219">
        <v>2023</v>
      </c>
      <c r="J219" s="38"/>
      <c r="K219" t="s">
        <v>178</v>
      </c>
      <c r="L219" t="s">
        <v>80</v>
      </c>
      <c r="M219" t="s">
        <v>123</v>
      </c>
      <c r="N219" t="s">
        <v>269</v>
      </c>
      <c r="O219"/>
      <c r="P219" t="s">
        <v>265</v>
      </c>
      <c r="Q219" t="s">
        <v>266</v>
      </c>
      <c r="R219" t="s">
        <v>267</v>
      </c>
      <c r="S219" t="s">
        <v>32</v>
      </c>
      <c r="U219" t="b">
        <v>0</v>
      </c>
      <c r="V219" t="b">
        <v>1</v>
      </c>
      <c r="W219" t="b">
        <v>0</v>
      </c>
      <c r="Y219" s="38"/>
      <c r="AS219"/>
    </row>
    <row r="220" spans="1:45" x14ac:dyDescent="0.3">
      <c r="A220">
        <v>352</v>
      </c>
      <c r="B220" t="s">
        <v>71</v>
      </c>
      <c r="E220" t="s">
        <v>258</v>
      </c>
      <c r="F220" t="s">
        <v>17</v>
      </c>
      <c r="G220" s="39">
        <v>45234.958333333336</v>
      </c>
      <c r="H220">
        <v>11</v>
      </c>
      <c r="I220">
        <v>2023</v>
      </c>
      <c r="J220" s="38"/>
      <c r="K220" t="s">
        <v>166</v>
      </c>
      <c r="L220" t="s">
        <v>182</v>
      </c>
      <c r="M220" t="s">
        <v>14</v>
      </c>
      <c r="N220" t="s">
        <v>72</v>
      </c>
      <c r="O220"/>
      <c r="P220" t="s">
        <v>34</v>
      </c>
      <c r="Q220" t="s">
        <v>167</v>
      </c>
      <c r="R220" t="s">
        <v>168</v>
      </c>
      <c r="S220" t="s">
        <v>33</v>
      </c>
      <c r="U220" t="b">
        <v>1</v>
      </c>
      <c r="V220" t="b">
        <v>1</v>
      </c>
      <c r="W220" t="b">
        <v>0</v>
      </c>
      <c r="Y220" s="38"/>
      <c r="AS220"/>
    </row>
    <row r="221" spans="1:45" x14ac:dyDescent="0.3">
      <c r="A221">
        <v>351</v>
      </c>
      <c r="B221" t="s">
        <v>298</v>
      </c>
      <c r="E221" t="s">
        <v>296</v>
      </c>
      <c r="F221" t="s">
        <v>17</v>
      </c>
      <c r="G221" s="39">
        <v>45281.958333333336</v>
      </c>
      <c r="H221">
        <v>12</v>
      </c>
      <c r="I221">
        <v>2023</v>
      </c>
      <c r="J221" s="38"/>
      <c r="K221" t="s">
        <v>178</v>
      </c>
      <c r="L221" t="s">
        <v>80</v>
      </c>
      <c r="M221" t="s">
        <v>123</v>
      </c>
      <c r="N221" t="s">
        <v>269</v>
      </c>
      <c r="O221"/>
      <c r="P221" t="s">
        <v>297</v>
      </c>
      <c r="Q221" t="s">
        <v>266</v>
      </c>
      <c r="R221" t="s">
        <v>267</v>
      </c>
      <c r="S221" t="s">
        <v>32</v>
      </c>
      <c r="U221" t="b">
        <v>1</v>
      </c>
      <c r="V221" t="b">
        <v>1</v>
      </c>
      <c r="W221" t="b">
        <v>1</v>
      </c>
      <c r="Y221" s="38"/>
      <c r="AS221"/>
    </row>
    <row r="222" spans="1:45" x14ac:dyDescent="0.3">
      <c r="A222">
        <v>350</v>
      </c>
      <c r="B222" t="s">
        <v>301</v>
      </c>
      <c r="E222" t="s">
        <v>299</v>
      </c>
      <c r="F222" t="s">
        <v>17</v>
      </c>
      <c r="G222" s="39">
        <v>45282.958333333336</v>
      </c>
      <c r="H222">
        <v>12</v>
      </c>
      <c r="I222">
        <v>2023</v>
      </c>
      <c r="J222" s="38"/>
      <c r="K222" t="s">
        <v>178</v>
      </c>
      <c r="L222" t="s">
        <v>80</v>
      </c>
      <c r="M222" t="s">
        <v>123</v>
      </c>
      <c r="N222" t="s">
        <v>269</v>
      </c>
      <c r="O222"/>
      <c r="P222" t="s">
        <v>300</v>
      </c>
      <c r="Q222" t="s">
        <v>266</v>
      </c>
      <c r="R222" t="s">
        <v>267</v>
      </c>
      <c r="S222" t="s">
        <v>32</v>
      </c>
      <c r="U222" t="b">
        <v>1</v>
      </c>
      <c r="V222" t="b">
        <v>1</v>
      </c>
      <c r="W222" t="b">
        <v>1</v>
      </c>
      <c r="Y222" s="38"/>
      <c r="AS222"/>
    </row>
    <row r="223" spans="1:45" x14ac:dyDescent="0.3">
      <c r="A223">
        <v>349</v>
      </c>
      <c r="B223" t="s">
        <v>71</v>
      </c>
      <c r="E223" t="s">
        <v>232</v>
      </c>
      <c r="F223" t="s">
        <v>17</v>
      </c>
      <c r="G223" s="39">
        <v>45292.958333333336</v>
      </c>
      <c r="H223">
        <v>1</v>
      </c>
      <c r="I223">
        <v>2024</v>
      </c>
      <c r="J223" s="38"/>
      <c r="K223" t="s">
        <v>140</v>
      </c>
      <c r="L223" t="s">
        <v>141</v>
      </c>
      <c r="M223" t="s">
        <v>142</v>
      </c>
      <c r="N223" t="s">
        <v>165</v>
      </c>
      <c r="O223"/>
      <c r="P223" t="s">
        <v>101</v>
      </c>
      <c r="Q223" t="s">
        <v>143</v>
      </c>
      <c r="R223" t="s">
        <v>144</v>
      </c>
      <c r="S223" t="s">
        <v>32</v>
      </c>
      <c r="U223" t="b">
        <v>1</v>
      </c>
      <c r="V223" t="b">
        <v>1</v>
      </c>
      <c r="W223" t="b">
        <v>1</v>
      </c>
      <c r="Y223" s="38"/>
      <c r="AS223"/>
    </row>
    <row r="224" spans="1:45" x14ac:dyDescent="0.3">
      <c r="A224">
        <v>348</v>
      </c>
      <c r="B224" t="s">
        <v>71</v>
      </c>
      <c r="E224" t="s">
        <v>233</v>
      </c>
      <c r="F224" t="s">
        <v>17</v>
      </c>
      <c r="G224" s="39">
        <v>45293.958333333336</v>
      </c>
      <c r="H224">
        <v>1</v>
      </c>
      <c r="I224">
        <v>2024</v>
      </c>
      <c r="J224" s="38"/>
      <c r="K224" t="s">
        <v>173</v>
      </c>
      <c r="L224" t="s">
        <v>174</v>
      </c>
      <c r="M224" t="s">
        <v>14</v>
      </c>
      <c r="N224" t="s">
        <v>159</v>
      </c>
      <c r="O224"/>
      <c r="P224" t="s">
        <v>83</v>
      </c>
      <c r="Q224" t="s">
        <v>135</v>
      </c>
      <c r="R224" t="s">
        <v>31</v>
      </c>
      <c r="S224" t="s">
        <v>32</v>
      </c>
      <c r="U224" t="b">
        <v>1</v>
      </c>
      <c r="V224" t="b">
        <v>1</v>
      </c>
      <c r="W224" t="b">
        <v>0</v>
      </c>
      <c r="Y224" s="38"/>
      <c r="AS224"/>
    </row>
    <row r="225" spans="1:45" x14ac:dyDescent="0.3">
      <c r="A225">
        <v>347</v>
      </c>
      <c r="B225" t="s">
        <v>71</v>
      </c>
      <c r="E225" t="s">
        <v>304</v>
      </c>
      <c r="F225" t="s">
        <v>17</v>
      </c>
      <c r="G225" s="39">
        <v>45293.958333333336</v>
      </c>
      <c r="H225">
        <v>1</v>
      </c>
      <c r="I225">
        <v>2024</v>
      </c>
      <c r="J225" s="38"/>
      <c r="K225" t="s">
        <v>125</v>
      </c>
      <c r="L225" t="s">
        <v>126</v>
      </c>
      <c r="M225" t="s">
        <v>13</v>
      </c>
      <c r="N225" t="s">
        <v>165</v>
      </c>
      <c r="O225"/>
      <c r="P225" t="s">
        <v>101</v>
      </c>
      <c r="Q225" t="s">
        <v>164</v>
      </c>
      <c r="R225" t="s">
        <v>132</v>
      </c>
      <c r="S225" t="s">
        <v>32</v>
      </c>
      <c r="U225" t="b">
        <v>1</v>
      </c>
      <c r="V225" t="b">
        <v>1</v>
      </c>
      <c r="W225" t="b">
        <v>0</v>
      </c>
      <c r="Y225" s="38"/>
      <c r="AS225"/>
    </row>
    <row r="226" spans="1:45" x14ac:dyDescent="0.3">
      <c r="A226">
        <v>346</v>
      </c>
      <c r="B226" t="s">
        <v>71</v>
      </c>
      <c r="E226" t="s">
        <v>305</v>
      </c>
      <c r="F226" t="s">
        <v>17</v>
      </c>
      <c r="G226" s="39">
        <v>45293.958333333336</v>
      </c>
      <c r="H226">
        <v>1</v>
      </c>
      <c r="I226">
        <v>2024</v>
      </c>
      <c r="J226" s="38"/>
      <c r="K226" t="s">
        <v>125</v>
      </c>
      <c r="L226" t="s">
        <v>126</v>
      </c>
      <c r="M226" t="s">
        <v>123</v>
      </c>
      <c r="N226" t="s">
        <v>165</v>
      </c>
      <c r="O226"/>
      <c r="P226" t="s">
        <v>101</v>
      </c>
      <c r="Q226" t="s">
        <v>139</v>
      </c>
      <c r="R226" t="s">
        <v>117</v>
      </c>
      <c r="S226" t="s">
        <v>32</v>
      </c>
      <c r="U226" t="b">
        <v>1</v>
      </c>
      <c r="V226" t="b">
        <v>1</v>
      </c>
      <c r="W226" t="b">
        <v>1</v>
      </c>
      <c r="Y226" s="38"/>
      <c r="AS226"/>
    </row>
    <row r="227" spans="1:45" x14ac:dyDescent="0.3">
      <c r="A227">
        <v>345</v>
      </c>
      <c r="B227" t="s">
        <v>77</v>
      </c>
      <c r="E227" t="s">
        <v>691</v>
      </c>
      <c r="F227" t="s">
        <v>17</v>
      </c>
      <c r="G227" s="39">
        <v>45295.958333333336</v>
      </c>
      <c r="H227">
        <v>1</v>
      </c>
      <c r="I227">
        <v>2024</v>
      </c>
      <c r="J227" s="38"/>
      <c r="K227" t="s">
        <v>82</v>
      </c>
      <c r="L227" t="s">
        <v>281</v>
      </c>
      <c r="M227" t="s">
        <v>282</v>
      </c>
      <c r="N227" t="s">
        <v>159</v>
      </c>
      <c r="O227"/>
      <c r="P227" t="s">
        <v>153</v>
      </c>
      <c r="Q227" t="s">
        <v>692</v>
      </c>
      <c r="R227" t="s">
        <v>284</v>
      </c>
      <c r="S227" t="s">
        <v>79</v>
      </c>
      <c r="U227" t="b">
        <v>1</v>
      </c>
      <c r="V227" t="b">
        <v>1</v>
      </c>
      <c r="W227" t="b">
        <v>1</v>
      </c>
      <c r="Y227" s="38"/>
      <c r="AS227"/>
    </row>
    <row r="228" spans="1:45" x14ac:dyDescent="0.3">
      <c r="A228">
        <v>344</v>
      </c>
      <c r="B228" t="s">
        <v>77</v>
      </c>
      <c r="E228" t="s">
        <v>693</v>
      </c>
      <c r="F228" t="s">
        <v>17</v>
      </c>
      <c r="G228" s="39">
        <v>45295.958333333336</v>
      </c>
      <c r="H228">
        <v>1</v>
      </c>
      <c r="I228">
        <v>2024</v>
      </c>
      <c r="J228" s="38"/>
      <c r="K228" t="s">
        <v>82</v>
      </c>
      <c r="L228" t="s">
        <v>281</v>
      </c>
      <c r="M228" t="s">
        <v>93</v>
      </c>
      <c r="N228" t="s">
        <v>159</v>
      </c>
      <c r="O228"/>
      <c r="P228" t="s">
        <v>153</v>
      </c>
      <c r="Q228" t="s">
        <v>694</v>
      </c>
      <c r="R228" t="s">
        <v>87</v>
      </c>
      <c r="S228" t="s">
        <v>78</v>
      </c>
      <c r="U228" t="b">
        <v>0</v>
      </c>
      <c r="V228" t="b">
        <v>1</v>
      </c>
      <c r="W228" t="b">
        <v>1</v>
      </c>
      <c r="Y228" s="38"/>
      <c r="AS228"/>
    </row>
    <row r="229" spans="1:45" x14ac:dyDescent="0.3">
      <c r="A229">
        <v>343</v>
      </c>
      <c r="B229" t="s">
        <v>71</v>
      </c>
      <c r="E229" t="s">
        <v>251</v>
      </c>
      <c r="F229" t="s">
        <v>17</v>
      </c>
      <c r="G229" s="39">
        <v>45231.958333333336</v>
      </c>
      <c r="H229">
        <v>11</v>
      </c>
      <c r="I229">
        <v>2023</v>
      </c>
      <c r="J229" s="38"/>
      <c r="K229" t="s">
        <v>189</v>
      </c>
      <c r="L229" t="s">
        <v>190</v>
      </c>
      <c r="M229" t="s">
        <v>178</v>
      </c>
      <c r="N229" t="s">
        <v>72</v>
      </c>
      <c r="O229"/>
      <c r="P229" t="s">
        <v>34</v>
      </c>
      <c r="Q229" t="s">
        <v>60</v>
      </c>
      <c r="R229" t="s">
        <v>31</v>
      </c>
      <c r="S229" t="s">
        <v>32</v>
      </c>
      <c r="U229" t="b">
        <v>1</v>
      </c>
      <c r="V229" t="b">
        <v>1</v>
      </c>
      <c r="W229" t="b">
        <v>1</v>
      </c>
      <c r="Y229" s="38"/>
      <c r="AS229"/>
    </row>
    <row r="230" spans="1:45" x14ac:dyDescent="0.3">
      <c r="A230">
        <v>342</v>
      </c>
      <c r="B230" t="s">
        <v>180</v>
      </c>
      <c r="E230" t="s">
        <v>224</v>
      </c>
      <c r="F230" t="s">
        <v>17</v>
      </c>
      <c r="G230" s="39">
        <v>45218.916666666664</v>
      </c>
      <c r="H230">
        <v>10</v>
      </c>
      <c r="I230">
        <v>2023</v>
      </c>
      <c r="J230" s="38"/>
      <c r="K230" t="s">
        <v>175</v>
      </c>
      <c r="L230" t="s">
        <v>176</v>
      </c>
      <c r="M230" t="s">
        <v>123</v>
      </c>
      <c r="N230" t="s">
        <v>72</v>
      </c>
      <c r="O230"/>
      <c r="P230" t="s">
        <v>179</v>
      </c>
      <c r="Q230" t="s">
        <v>222</v>
      </c>
      <c r="R230" t="s">
        <v>223</v>
      </c>
      <c r="S230" t="s">
        <v>32</v>
      </c>
      <c r="U230" t="b">
        <v>0</v>
      </c>
      <c r="V230" t="b">
        <v>1</v>
      </c>
      <c r="W230" t="b">
        <v>0</v>
      </c>
      <c r="Y230" s="38"/>
      <c r="AS230"/>
    </row>
    <row r="231" spans="1:45" x14ac:dyDescent="0.3">
      <c r="A231">
        <v>341</v>
      </c>
      <c r="B231" t="s">
        <v>71</v>
      </c>
      <c r="E231" t="s">
        <v>225</v>
      </c>
      <c r="F231" t="s">
        <v>17</v>
      </c>
      <c r="G231" s="39">
        <v>45218.916666666664</v>
      </c>
      <c r="H231">
        <v>10</v>
      </c>
      <c r="I231">
        <v>2023</v>
      </c>
      <c r="J231" s="38"/>
      <c r="K231" t="s">
        <v>175</v>
      </c>
      <c r="L231" t="s">
        <v>176</v>
      </c>
      <c r="M231" t="s">
        <v>123</v>
      </c>
      <c r="N231" t="s">
        <v>72</v>
      </c>
      <c r="O231"/>
      <c r="P231" t="s">
        <v>34</v>
      </c>
      <c r="Q231" t="s">
        <v>222</v>
      </c>
      <c r="R231" t="s">
        <v>223</v>
      </c>
      <c r="S231" t="s">
        <v>32</v>
      </c>
      <c r="U231" t="b">
        <v>1</v>
      </c>
      <c r="V231" t="b">
        <v>1</v>
      </c>
      <c r="W231" t="b">
        <v>0</v>
      </c>
      <c r="Y231" s="38"/>
      <c r="AS231"/>
    </row>
    <row r="232" spans="1:45" x14ac:dyDescent="0.3">
      <c r="A232">
        <v>340</v>
      </c>
      <c r="B232" t="s">
        <v>156</v>
      </c>
      <c r="E232" t="s">
        <v>226</v>
      </c>
      <c r="F232" t="s">
        <v>17</v>
      </c>
      <c r="G232" s="39">
        <v>45218.916666666664</v>
      </c>
      <c r="H232">
        <v>10</v>
      </c>
      <c r="I232">
        <v>2023</v>
      </c>
      <c r="J232" s="38"/>
      <c r="K232" t="s">
        <v>175</v>
      </c>
      <c r="L232" t="s">
        <v>176</v>
      </c>
      <c r="M232" t="s">
        <v>123</v>
      </c>
      <c r="N232" t="s">
        <v>72</v>
      </c>
      <c r="O232"/>
      <c r="P232" t="s">
        <v>169</v>
      </c>
      <c r="Q232" t="s">
        <v>222</v>
      </c>
      <c r="R232" t="s">
        <v>223</v>
      </c>
      <c r="S232" t="s">
        <v>32</v>
      </c>
      <c r="U232" t="b">
        <v>1</v>
      </c>
      <c r="V232" t="b">
        <v>1</v>
      </c>
      <c r="W232" t="b">
        <v>0</v>
      </c>
      <c r="Y232" s="38"/>
      <c r="AS232"/>
    </row>
    <row r="233" spans="1:45" x14ac:dyDescent="0.3">
      <c r="A233">
        <v>339</v>
      </c>
      <c r="B233" t="s">
        <v>77</v>
      </c>
      <c r="E233" t="s">
        <v>227</v>
      </c>
      <c r="F233" t="s">
        <v>17</v>
      </c>
      <c r="G233" s="39">
        <v>45218.916666666664</v>
      </c>
      <c r="H233">
        <v>10</v>
      </c>
      <c r="I233">
        <v>2023</v>
      </c>
      <c r="J233" s="38"/>
      <c r="K233" t="s">
        <v>175</v>
      </c>
      <c r="L233" t="s">
        <v>176</v>
      </c>
      <c r="M233" t="s">
        <v>123</v>
      </c>
      <c r="N233" t="s">
        <v>72</v>
      </c>
      <c r="O233"/>
      <c r="P233" t="s">
        <v>228</v>
      </c>
      <c r="Q233" t="s">
        <v>222</v>
      </c>
      <c r="R233" t="s">
        <v>223</v>
      </c>
      <c r="S233" t="s">
        <v>32</v>
      </c>
      <c r="U233" t="b">
        <v>1</v>
      </c>
      <c r="V233" t="b">
        <v>1</v>
      </c>
      <c r="W233" t="b">
        <v>0</v>
      </c>
      <c r="Y233" s="38"/>
      <c r="AS233"/>
    </row>
    <row r="234" spans="1:45" x14ac:dyDescent="0.3">
      <c r="A234">
        <v>338</v>
      </c>
      <c r="B234" t="s">
        <v>200</v>
      </c>
      <c r="E234" t="s">
        <v>229</v>
      </c>
      <c r="F234" t="s">
        <v>17</v>
      </c>
      <c r="G234" s="39">
        <v>45218.916666666664</v>
      </c>
      <c r="H234">
        <v>10</v>
      </c>
      <c r="I234">
        <v>2023</v>
      </c>
      <c r="J234" s="38"/>
      <c r="K234" t="s">
        <v>175</v>
      </c>
      <c r="L234" t="s">
        <v>176</v>
      </c>
      <c r="M234" t="s">
        <v>123</v>
      </c>
      <c r="N234" t="s">
        <v>72</v>
      </c>
      <c r="O234"/>
      <c r="P234" t="s">
        <v>199</v>
      </c>
      <c r="Q234" t="s">
        <v>222</v>
      </c>
      <c r="R234" t="s">
        <v>223</v>
      </c>
      <c r="S234" t="s">
        <v>32</v>
      </c>
      <c r="U234" t="b">
        <v>1</v>
      </c>
      <c r="V234" t="b">
        <v>1</v>
      </c>
      <c r="W234" t="b">
        <v>0</v>
      </c>
      <c r="Y234" s="38"/>
      <c r="AS234"/>
    </row>
    <row r="235" spans="1:45" x14ac:dyDescent="0.3">
      <c r="A235">
        <v>337</v>
      </c>
      <c r="B235" t="s">
        <v>171</v>
      </c>
      <c r="E235" t="s">
        <v>236</v>
      </c>
      <c r="F235" t="s">
        <v>17</v>
      </c>
      <c r="G235" s="39">
        <v>45221.916666666664</v>
      </c>
      <c r="H235">
        <v>10</v>
      </c>
      <c r="I235">
        <v>2023</v>
      </c>
      <c r="J235" s="38"/>
      <c r="K235" t="s">
        <v>178</v>
      </c>
      <c r="L235" t="s">
        <v>80</v>
      </c>
      <c r="M235" t="s">
        <v>14</v>
      </c>
      <c r="N235" t="s">
        <v>72</v>
      </c>
      <c r="O235"/>
      <c r="P235" t="s">
        <v>170</v>
      </c>
      <c r="Q235" t="s">
        <v>135</v>
      </c>
      <c r="R235" t="s">
        <v>31</v>
      </c>
      <c r="S235" t="s">
        <v>32</v>
      </c>
      <c r="U235" t="b">
        <v>1</v>
      </c>
      <c r="V235" t="b">
        <v>1</v>
      </c>
      <c r="W235" t="b">
        <v>0</v>
      </c>
      <c r="Y235" s="38"/>
      <c r="AS235"/>
    </row>
    <row r="236" spans="1:45" x14ac:dyDescent="0.3">
      <c r="A236">
        <v>336</v>
      </c>
      <c r="B236" t="s">
        <v>71</v>
      </c>
      <c r="E236" t="s">
        <v>237</v>
      </c>
      <c r="F236" t="s">
        <v>17</v>
      </c>
      <c r="G236" s="39">
        <v>45219.916666666664</v>
      </c>
      <c r="H236">
        <v>10</v>
      </c>
      <c r="I236">
        <v>2023</v>
      </c>
      <c r="J236" s="38"/>
      <c r="K236" t="s">
        <v>148</v>
      </c>
      <c r="L236" t="s">
        <v>238</v>
      </c>
      <c r="M236" t="s">
        <v>95</v>
      </c>
      <c r="N236" t="s">
        <v>159</v>
      </c>
      <c r="O236"/>
      <c r="P236" t="s">
        <v>83</v>
      </c>
      <c r="Q236" t="s">
        <v>96</v>
      </c>
      <c r="R236" t="s">
        <v>97</v>
      </c>
      <c r="S236" t="s">
        <v>32</v>
      </c>
      <c r="U236" t="b">
        <v>1</v>
      </c>
      <c r="V236" t="b">
        <v>1</v>
      </c>
      <c r="W236" t="b">
        <v>0</v>
      </c>
      <c r="Y236" s="38"/>
      <c r="AS236"/>
    </row>
    <row r="237" spans="1:45" x14ac:dyDescent="0.3">
      <c r="A237">
        <v>335</v>
      </c>
      <c r="B237" t="s">
        <v>71</v>
      </c>
      <c r="E237" t="s">
        <v>247</v>
      </c>
      <c r="F237" t="s">
        <v>17</v>
      </c>
      <c r="G237" s="39">
        <v>45222.916666666664</v>
      </c>
      <c r="H237">
        <v>10</v>
      </c>
      <c r="I237">
        <v>2023</v>
      </c>
      <c r="J237" s="38"/>
      <c r="K237" t="s">
        <v>175</v>
      </c>
      <c r="L237" t="s">
        <v>176</v>
      </c>
      <c r="M237" t="s">
        <v>14</v>
      </c>
      <c r="N237" t="s">
        <v>177</v>
      </c>
      <c r="O237"/>
      <c r="P237" t="s">
        <v>107</v>
      </c>
      <c r="Q237" t="s">
        <v>145</v>
      </c>
      <c r="R237" t="s">
        <v>12</v>
      </c>
      <c r="S237" t="s">
        <v>32</v>
      </c>
      <c r="U237" t="b">
        <v>1</v>
      </c>
      <c r="V237" t="b">
        <v>1</v>
      </c>
      <c r="W237" t="b">
        <v>0</v>
      </c>
      <c r="Y237" s="38"/>
      <c r="AS237"/>
    </row>
    <row r="238" spans="1:45" x14ac:dyDescent="0.3">
      <c r="A238">
        <v>334</v>
      </c>
      <c r="B238" t="s">
        <v>171</v>
      </c>
      <c r="E238" t="s">
        <v>248</v>
      </c>
      <c r="F238" t="s">
        <v>17</v>
      </c>
      <c r="G238" s="39">
        <v>45222.916666666664</v>
      </c>
      <c r="H238">
        <v>10</v>
      </c>
      <c r="I238">
        <v>2023</v>
      </c>
      <c r="J238" s="38"/>
      <c r="K238" t="s">
        <v>175</v>
      </c>
      <c r="L238" t="s">
        <v>176</v>
      </c>
      <c r="M238" t="s">
        <v>14</v>
      </c>
      <c r="N238" t="s">
        <v>177</v>
      </c>
      <c r="O238"/>
      <c r="P238" t="s">
        <v>207</v>
      </c>
      <c r="Q238" t="s">
        <v>145</v>
      </c>
      <c r="R238" t="s">
        <v>12</v>
      </c>
      <c r="S238" t="s">
        <v>32</v>
      </c>
      <c r="U238" t="b">
        <v>1</v>
      </c>
      <c r="V238" t="b">
        <v>1</v>
      </c>
      <c r="W238" t="b">
        <v>0</v>
      </c>
      <c r="Y238" s="38"/>
      <c r="AS238"/>
    </row>
    <row r="239" spans="1:45" x14ac:dyDescent="0.3">
      <c r="A239">
        <v>333</v>
      </c>
      <c r="B239" t="s">
        <v>171</v>
      </c>
      <c r="E239" t="s">
        <v>249</v>
      </c>
      <c r="F239" t="s">
        <v>17</v>
      </c>
      <c r="G239" s="39">
        <v>45222.916666666664</v>
      </c>
      <c r="H239">
        <v>10</v>
      </c>
      <c r="I239">
        <v>2023</v>
      </c>
      <c r="J239" s="38"/>
      <c r="K239" t="s">
        <v>189</v>
      </c>
      <c r="L239" t="s">
        <v>190</v>
      </c>
      <c r="M239" t="s">
        <v>178</v>
      </c>
      <c r="N239" t="s">
        <v>72</v>
      </c>
      <c r="O239"/>
      <c r="P239" t="s">
        <v>170</v>
      </c>
      <c r="Q239" t="s">
        <v>60</v>
      </c>
      <c r="R239" t="s">
        <v>31</v>
      </c>
      <c r="S239" t="s">
        <v>32</v>
      </c>
      <c r="U239" t="b">
        <v>0</v>
      </c>
      <c r="V239" t="b">
        <v>1</v>
      </c>
      <c r="W239" t="b">
        <v>0</v>
      </c>
      <c r="Y239" s="38"/>
      <c r="AS239"/>
    </row>
    <row r="240" spans="1:45" x14ac:dyDescent="0.3">
      <c r="A240">
        <v>332</v>
      </c>
      <c r="B240" t="s">
        <v>171</v>
      </c>
      <c r="E240" t="s">
        <v>230</v>
      </c>
      <c r="F240" t="s">
        <v>17</v>
      </c>
      <c r="G240" s="39">
        <v>45221.916666666664</v>
      </c>
      <c r="H240">
        <v>10</v>
      </c>
      <c r="I240">
        <v>2023</v>
      </c>
      <c r="J240" s="38"/>
      <c r="K240" t="s">
        <v>175</v>
      </c>
      <c r="L240" t="s">
        <v>176</v>
      </c>
      <c r="M240" t="s">
        <v>123</v>
      </c>
      <c r="N240" t="s">
        <v>72</v>
      </c>
      <c r="O240"/>
      <c r="P240" t="s">
        <v>170</v>
      </c>
      <c r="Q240" t="s">
        <v>222</v>
      </c>
      <c r="R240" t="s">
        <v>223</v>
      </c>
      <c r="S240" t="s">
        <v>32</v>
      </c>
      <c r="U240" t="b">
        <v>0</v>
      </c>
      <c r="V240" t="b">
        <v>1</v>
      </c>
      <c r="W240" t="b">
        <v>0</v>
      </c>
      <c r="Y240" s="38"/>
      <c r="AS240"/>
    </row>
    <row r="241" spans="1:45" x14ac:dyDescent="0.3">
      <c r="A241">
        <v>331</v>
      </c>
      <c r="B241" t="s">
        <v>171</v>
      </c>
      <c r="E241" t="s">
        <v>239</v>
      </c>
      <c r="F241" t="s">
        <v>17</v>
      </c>
      <c r="G241" s="39">
        <v>45220.916666666664</v>
      </c>
      <c r="H241">
        <v>10</v>
      </c>
      <c r="I241">
        <v>2023</v>
      </c>
      <c r="J241" s="38"/>
      <c r="K241" t="s">
        <v>166</v>
      </c>
      <c r="L241" t="s">
        <v>182</v>
      </c>
      <c r="M241" t="s">
        <v>14</v>
      </c>
      <c r="N241" t="s">
        <v>72</v>
      </c>
      <c r="O241"/>
      <c r="P241" t="s">
        <v>170</v>
      </c>
      <c r="Q241" t="s">
        <v>167</v>
      </c>
      <c r="R241" t="s">
        <v>168</v>
      </c>
      <c r="S241" t="s">
        <v>32</v>
      </c>
      <c r="U241" t="b">
        <v>0</v>
      </c>
      <c r="V241" t="b">
        <v>1</v>
      </c>
      <c r="W241" t="b">
        <v>0</v>
      </c>
      <c r="Y241" s="38"/>
      <c r="AS241"/>
    </row>
    <row r="242" spans="1:45" x14ac:dyDescent="0.3">
      <c r="A242">
        <v>330</v>
      </c>
      <c r="B242" t="s">
        <v>180</v>
      </c>
      <c r="E242" t="s">
        <v>224</v>
      </c>
      <c r="F242" t="s">
        <v>17</v>
      </c>
      <c r="G242" s="39">
        <v>45218.916666666664</v>
      </c>
      <c r="H242">
        <v>10</v>
      </c>
      <c r="I242">
        <v>2023</v>
      </c>
      <c r="J242" s="38"/>
      <c r="K242" t="s">
        <v>175</v>
      </c>
      <c r="L242" t="s">
        <v>176</v>
      </c>
      <c r="M242" t="s">
        <v>123</v>
      </c>
      <c r="N242" t="s">
        <v>72</v>
      </c>
      <c r="O242"/>
      <c r="P242" t="s">
        <v>179</v>
      </c>
      <c r="Q242" t="s">
        <v>222</v>
      </c>
      <c r="R242" t="s">
        <v>223</v>
      </c>
      <c r="S242" t="s">
        <v>32</v>
      </c>
      <c r="U242" t="b">
        <v>0</v>
      </c>
      <c r="V242" t="b">
        <v>1</v>
      </c>
      <c r="W242" t="b">
        <v>0</v>
      </c>
      <c r="Y242" s="38"/>
      <c r="AS242"/>
    </row>
    <row r="243" spans="1:45" x14ac:dyDescent="0.3">
      <c r="A243">
        <v>329</v>
      </c>
      <c r="B243" t="s">
        <v>71</v>
      </c>
      <c r="E243" t="s">
        <v>225</v>
      </c>
      <c r="F243" t="s">
        <v>17</v>
      </c>
      <c r="G243" s="39">
        <v>45218.916666666664</v>
      </c>
      <c r="H243">
        <v>10</v>
      </c>
      <c r="I243">
        <v>2023</v>
      </c>
      <c r="J243" s="38"/>
      <c r="K243" t="s">
        <v>175</v>
      </c>
      <c r="L243" t="s">
        <v>176</v>
      </c>
      <c r="M243" t="s">
        <v>123</v>
      </c>
      <c r="N243" t="s">
        <v>72</v>
      </c>
      <c r="O243"/>
      <c r="P243" t="s">
        <v>34</v>
      </c>
      <c r="Q243" t="s">
        <v>222</v>
      </c>
      <c r="R243" t="s">
        <v>223</v>
      </c>
      <c r="S243" t="s">
        <v>32</v>
      </c>
      <c r="U243" t="b">
        <v>1</v>
      </c>
      <c r="V243" t="b">
        <v>1</v>
      </c>
      <c r="W243" t="b">
        <v>0</v>
      </c>
      <c r="Y243" s="38"/>
      <c r="AS243"/>
    </row>
    <row r="244" spans="1:45" x14ac:dyDescent="0.3">
      <c r="A244">
        <v>328</v>
      </c>
      <c r="B244" t="s">
        <v>156</v>
      </c>
      <c r="E244" t="s">
        <v>226</v>
      </c>
      <c r="F244" t="s">
        <v>17</v>
      </c>
      <c r="G244" s="39">
        <v>45218.916666666664</v>
      </c>
      <c r="H244">
        <v>10</v>
      </c>
      <c r="I244">
        <v>2023</v>
      </c>
      <c r="J244" s="38"/>
      <c r="K244" t="s">
        <v>175</v>
      </c>
      <c r="L244" t="s">
        <v>176</v>
      </c>
      <c r="M244" t="s">
        <v>123</v>
      </c>
      <c r="N244" t="s">
        <v>72</v>
      </c>
      <c r="O244"/>
      <c r="P244" t="s">
        <v>169</v>
      </c>
      <c r="Q244" t="s">
        <v>222</v>
      </c>
      <c r="R244" t="s">
        <v>223</v>
      </c>
      <c r="S244" t="s">
        <v>32</v>
      </c>
      <c r="U244" t="b">
        <v>1</v>
      </c>
      <c r="V244" t="b">
        <v>1</v>
      </c>
      <c r="W244" t="b">
        <v>0</v>
      </c>
      <c r="Y244" s="38"/>
      <c r="AS244"/>
    </row>
    <row r="245" spans="1:45" x14ac:dyDescent="0.3">
      <c r="A245">
        <v>327</v>
      </c>
      <c r="B245" t="s">
        <v>77</v>
      </c>
      <c r="E245" t="s">
        <v>227</v>
      </c>
      <c r="F245" t="s">
        <v>17</v>
      </c>
      <c r="G245" s="39">
        <v>45218.916666666664</v>
      </c>
      <c r="H245">
        <v>10</v>
      </c>
      <c r="I245">
        <v>2023</v>
      </c>
      <c r="J245" s="38"/>
      <c r="K245" t="s">
        <v>175</v>
      </c>
      <c r="L245" t="s">
        <v>176</v>
      </c>
      <c r="M245" t="s">
        <v>123</v>
      </c>
      <c r="N245" t="s">
        <v>72</v>
      </c>
      <c r="O245"/>
      <c r="P245" t="s">
        <v>228</v>
      </c>
      <c r="Q245" t="s">
        <v>222</v>
      </c>
      <c r="R245" t="s">
        <v>223</v>
      </c>
      <c r="S245" t="s">
        <v>32</v>
      </c>
      <c r="U245" t="b">
        <v>1</v>
      </c>
      <c r="V245" t="b">
        <v>1</v>
      </c>
      <c r="W245" t="b">
        <v>0</v>
      </c>
      <c r="Y245" s="38"/>
      <c r="AS245"/>
    </row>
    <row r="246" spans="1:45" x14ac:dyDescent="0.3">
      <c r="A246">
        <v>326</v>
      </c>
      <c r="B246" t="s">
        <v>200</v>
      </c>
      <c r="E246" t="s">
        <v>229</v>
      </c>
      <c r="F246" t="s">
        <v>17</v>
      </c>
      <c r="G246" s="39">
        <v>45218.916666666664</v>
      </c>
      <c r="H246">
        <v>10</v>
      </c>
      <c r="I246">
        <v>2023</v>
      </c>
      <c r="J246" s="38"/>
      <c r="K246" t="s">
        <v>175</v>
      </c>
      <c r="L246" t="s">
        <v>176</v>
      </c>
      <c r="M246" t="s">
        <v>123</v>
      </c>
      <c r="N246" t="s">
        <v>72</v>
      </c>
      <c r="O246"/>
      <c r="P246" t="s">
        <v>199</v>
      </c>
      <c r="Q246" t="s">
        <v>222</v>
      </c>
      <c r="R246" t="s">
        <v>223</v>
      </c>
      <c r="S246" t="s">
        <v>32</v>
      </c>
      <c r="U246" t="b">
        <v>1</v>
      </c>
      <c r="V246" t="b">
        <v>1</v>
      </c>
      <c r="W246" t="b">
        <v>0</v>
      </c>
      <c r="Y246" s="38"/>
      <c r="AS246"/>
    </row>
    <row r="247" spans="1:45" x14ac:dyDescent="0.3">
      <c r="A247">
        <v>325</v>
      </c>
      <c r="B247" t="s">
        <v>171</v>
      </c>
      <c r="E247" t="s">
        <v>236</v>
      </c>
      <c r="F247" t="s">
        <v>17</v>
      </c>
      <c r="G247" s="39">
        <v>45221.916666666664</v>
      </c>
      <c r="H247">
        <v>10</v>
      </c>
      <c r="I247">
        <v>2023</v>
      </c>
      <c r="J247" s="38"/>
      <c r="K247" t="s">
        <v>178</v>
      </c>
      <c r="L247" t="s">
        <v>80</v>
      </c>
      <c r="M247" t="s">
        <v>14</v>
      </c>
      <c r="N247" t="s">
        <v>72</v>
      </c>
      <c r="O247"/>
      <c r="P247" t="s">
        <v>170</v>
      </c>
      <c r="Q247" t="s">
        <v>135</v>
      </c>
      <c r="R247" t="s">
        <v>31</v>
      </c>
      <c r="S247" t="s">
        <v>32</v>
      </c>
      <c r="U247" t="b">
        <v>1</v>
      </c>
      <c r="V247" t="b">
        <v>1</v>
      </c>
      <c r="W247" t="b">
        <v>0</v>
      </c>
      <c r="Y247" s="38"/>
      <c r="AS247"/>
    </row>
    <row r="248" spans="1:45" x14ac:dyDescent="0.3">
      <c r="A248">
        <v>324</v>
      </c>
      <c r="B248" t="s">
        <v>71</v>
      </c>
      <c r="E248" t="s">
        <v>237</v>
      </c>
      <c r="F248" t="s">
        <v>17</v>
      </c>
      <c r="G248" s="39">
        <v>45219.916666666664</v>
      </c>
      <c r="H248">
        <v>10</v>
      </c>
      <c r="I248">
        <v>2023</v>
      </c>
      <c r="J248" s="38"/>
      <c r="K248" t="s">
        <v>148</v>
      </c>
      <c r="L248" t="s">
        <v>238</v>
      </c>
      <c r="M248" t="s">
        <v>95</v>
      </c>
      <c r="N248" t="s">
        <v>159</v>
      </c>
      <c r="O248"/>
      <c r="P248" t="s">
        <v>83</v>
      </c>
      <c r="Q248" t="s">
        <v>96</v>
      </c>
      <c r="R248" t="s">
        <v>97</v>
      </c>
      <c r="S248" t="s">
        <v>32</v>
      </c>
      <c r="U248" t="b">
        <v>1</v>
      </c>
      <c r="V248" t="b">
        <v>1</v>
      </c>
      <c r="W248" t="b">
        <v>0</v>
      </c>
      <c r="Y248" s="38"/>
      <c r="AS248"/>
    </row>
    <row r="249" spans="1:45" x14ac:dyDescent="0.3">
      <c r="A249">
        <v>323</v>
      </c>
      <c r="B249" t="s">
        <v>71</v>
      </c>
      <c r="E249" t="s">
        <v>247</v>
      </c>
      <c r="F249" t="s">
        <v>17</v>
      </c>
      <c r="G249" s="39">
        <v>45222.916666666664</v>
      </c>
      <c r="H249">
        <v>10</v>
      </c>
      <c r="I249">
        <v>2023</v>
      </c>
      <c r="J249" s="38"/>
      <c r="K249" t="s">
        <v>175</v>
      </c>
      <c r="L249" t="s">
        <v>176</v>
      </c>
      <c r="M249" t="s">
        <v>14</v>
      </c>
      <c r="N249" t="s">
        <v>177</v>
      </c>
      <c r="O249"/>
      <c r="P249" t="s">
        <v>107</v>
      </c>
      <c r="Q249" t="s">
        <v>145</v>
      </c>
      <c r="R249" t="s">
        <v>12</v>
      </c>
      <c r="S249" t="s">
        <v>32</v>
      </c>
      <c r="U249" t="b">
        <v>1</v>
      </c>
      <c r="V249" t="b">
        <v>1</v>
      </c>
      <c r="W249" t="b">
        <v>0</v>
      </c>
      <c r="Y249" s="38"/>
      <c r="AS249"/>
    </row>
    <row r="250" spans="1:45" x14ac:dyDescent="0.3">
      <c r="A250">
        <v>322</v>
      </c>
      <c r="B250" t="s">
        <v>171</v>
      </c>
      <c r="E250" t="s">
        <v>248</v>
      </c>
      <c r="F250" t="s">
        <v>17</v>
      </c>
      <c r="G250" s="39">
        <v>45222.916666666664</v>
      </c>
      <c r="H250">
        <v>10</v>
      </c>
      <c r="I250">
        <v>2023</v>
      </c>
      <c r="J250" s="38"/>
      <c r="K250" t="s">
        <v>175</v>
      </c>
      <c r="L250" t="s">
        <v>176</v>
      </c>
      <c r="M250" t="s">
        <v>14</v>
      </c>
      <c r="N250" t="s">
        <v>177</v>
      </c>
      <c r="O250"/>
      <c r="P250" t="s">
        <v>207</v>
      </c>
      <c r="Q250" t="s">
        <v>145</v>
      </c>
      <c r="R250" t="s">
        <v>12</v>
      </c>
      <c r="S250" t="s">
        <v>32</v>
      </c>
      <c r="U250" t="b">
        <v>1</v>
      </c>
      <c r="V250" t="b">
        <v>1</v>
      </c>
      <c r="W250" t="b">
        <v>0</v>
      </c>
      <c r="Y250" s="38"/>
      <c r="AS250"/>
    </row>
    <row r="251" spans="1:45" x14ac:dyDescent="0.3">
      <c r="A251">
        <v>321</v>
      </c>
      <c r="B251" t="s">
        <v>171</v>
      </c>
      <c r="E251" t="s">
        <v>249</v>
      </c>
      <c r="F251" t="s">
        <v>17</v>
      </c>
      <c r="G251" s="39">
        <v>45222.916666666664</v>
      </c>
      <c r="H251">
        <v>10</v>
      </c>
      <c r="I251">
        <v>2023</v>
      </c>
      <c r="J251" s="38"/>
      <c r="K251" t="s">
        <v>189</v>
      </c>
      <c r="L251" t="s">
        <v>190</v>
      </c>
      <c r="M251" t="s">
        <v>178</v>
      </c>
      <c r="N251" t="s">
        <v>72</v>
      </c>
      <c r="O251"/>
      <c r="P251" t="s">
        <v>170</v>
      </c>
      <c r="Q251" t="s">
        <v>60</v>
      </c>
      <c r="R251" t="s">
        <v>31</v>
      </c>
      <c r="S251" t="s">
        <v>32</v>
      </c>
      <c r="U251" t="b">
        <v>0</v>
      </c>
      <c r="V251" t="b">
        <v>1</v>
      </c>
      <c r="W251" t="b">
        <v>0</v>
      </c>
      <c r="Y251" s="38"/>
      <c r="AS251"/>
    </row>
    <row r="252" spans="1:45" x14ac:dyDescent="0.3">
      <c r="A252">
        <v>320</v>
      </c>
      <c r="B252" t="s">
        <v>171</v>
      </c>
      <c r="E252" t="s">
        <v>230</v>
      </c>
      <c r="F252" t="s">
        <v>17</v>
      </c>
      <c r="G252" s="39">
        <v>45221.916666666664</v>
      </c>
      <c r="H252">
        <v>10</v>
      </c>
      <c r="I252">
        <v>2023</v>
      </c>
      <c r="J252" s="38"/>
      <c r="K252" t="s">
        <v>175</v>
      </c>
      <c r="L252" t="s">
        <v>176</v>
      </c>
      <c r="M252" t="s">
        <v>123</v>
      </c>
      <c r="N252" t="s">
        <v>72</v>
      </c>
      <c r="O252"/>
      <c r="P252" t="s">
        <v>170</v>
      </c>
      <c r="Q252" t="s">
        <v>222</v>
      </c>
      <c r="R252" t="s">
        <v>223</v>
      </c>
      <c r="S252" t="s">
        <v>32</v>
      </c>
      <c r="U252" t="b">
        <v>0</v>
      </c>
      <c r="V252" t="b">
        <v>1</v>
      </c>
      <c r="W252" t="b">
        <v>0</v>
      </c>
      <c r="Y252" s="38"/>
      <c r="AS252"/>
    </row>
    <row r="253" spans="1:45" x14ac:dyDescent="0.3">
      <c r="A253">
        <v>319</v>
      </c>
      <c r="B253" t="s">
        <v>171</v>
      </c>
      <c r="E253" t="s">
        <v>239</v>
      </c>
      <c r="F253" t="s">
        <v>17</v>
      </c>
      <c r="G253" s="39">
        <v>45220.916666666664</v>
      </c>
      <c r="H253">
        <v>10</v>
      </c>
      <c r="I253">
        <v>2023</v>
      </c>
      <c r="J253" s="38"/>
      <c r="K253" t="s">
        <v>166</v>
      </c>
      <c r="L253" t="s">
        <v>182</v>
      </c>
      <c r="M253" t="s">
        <v>14</v>
      </c>
      <c r="N253" t="s">
        <v>72</v>
      </c>
      <c r="O253"/>
      <c r="P253" t="s">
        <v>170</v>
      </c>
      <c r="Q253" t="s">
        <v>167</v>
      </c>
      <c r="R253" t="s">
        <v>168</v>
      </c>
      <c r="S253" t="s">
        <v>32</v>
      </c>
      <c r="U253" t="b">
        <v>0</v>
      </c>
      <c r="V253" t="b">
        <v>1</v>
      </c>
      <c r="W253" t="b">
        <v>0</v>
      </c>
      <c r="Y253" s="38"/>
      <c r="AS253"/>
    </row>
    <row r="254" spans="1:45" x14ac:dyDescent="0.3">
      <c r="A254">
        <v>318</v>
      </c>
      <c r="B254" t="s">
        <v>171</v>
      </c>
      <c r="E254" t="s">
        <v>219</v>
      </c>
      <c r="F254" t="s">
        <v>17</v>
      </c>
      <c r="G254" s="39">
        <v>45210.916666666664</v>
      </c>
      <c r="H254">
        <v>10</v>
      </c>
      <c r="I254">
        <v>2023</v>
      </c>
      <c r="J254" s="38"/>
      <c r="K254" t="s">
        <v>166</v>
      </c>
      <c r="L254" t="s">
        <v>182</v>
      </c>
      <c r="M254" t="s">
        <v>14</v>
      </c>
      <c r="N254" t="s">
        <v>72</v>
      </c>
      <c r="O254"/>
      <c r="P254" t="s">
        <v>170</v>
      </c>
      <c r="Q254" t="s">
        <v>167</v>
      </c>
      <c r="R254" t="s">
        <v>168</v>
      </c>
      <c r="S254" t="s">
        <v>32</v>
      </c>
      <c r="U254" t="b">
        <v>0</v>
      </c>
      <c r="V254" t="b">
        <v>1</v>
      </c>
      <c r="W254" t="b">
        <v>0</v>
      </c>
      <c r="Y254" s="38"/>
      <c r="AS254"/>
    </row>
    <row r="255" spans="1:45" x14ac:dyDescent="0.3">
      <c r="A255">
        <v>317</v>
      </c>
      <c r="B255" t="s">
        <v>200</v>
      </c>
      <c r="E255" t="s">
        <v>220</v>
      </c>
      <c r="F255" t="s">
        <v>17</v>
      </c>
      <c r="G255" s="39">
        <v>45211.916666666664</v>
      </c>
      <c r="H255">
        <v>10</v>
      </c>
      <c r="I255">
        <v>2023</v>
      </c>
      <c r="J255" s="38"/>
      <c r="K255" t="s">
        <v>178</v>
      </c>
      <c r="L255" t="s">
        <v>80</v>
      </c>
      <c r="M255" t="s">
        <v>14</v>
      </c>
      <c r="N255" t="s">
        <v>72</v>
      </c>
      <c r="O255"/>
      <c r="P255" t="s">
        <v>199</v>
      </c>
      <c r="Q255" t="s">
        <v>135</v>
      </c>
      <c r="R255" t="s">
        <v>31</v>
      </c>
      <c r="S255" t="s">
        <v>32</v>
      </c>
      <c r="U255" t="b">
        <v>1</v>
      </c>
      <c r="V255" t="b">
        <v>1</v>
      </c>
      <c r="W255" t="b">
        <v>1</v>
      </c>
      <c r="Y255" s="38"/>
      <c r="AS255"/>
    </row>
    <row r="256" spans="1:45" x14ac:dyDescent="0.3">
      <c r="A256">
        <v>316</v>
      </c>
      <c r="B256" t="s">
        <v>158</v>
      </c>
      <c r="E256" t="s">
        <v>216</v>
      </c>
      <c r="F256" t="s">
        <v>17</v>
      </c>
      <c r="G256" s="39">
        <v>45207.916666666664</v>
      </c>
      <c r="H256">
        <v>10</v>
      </c>
      <c r="I256">
        <v>2023</v>
      </c>
      <c r="J256" s="38"/>
      <c r="K256" t="s">
        <v>118</v>
      </c>
      <c r="L256" t="s">
        <v>119</v>
      </c>
      <c r="M256" t="s">
        <v>137</v>
      </c>
      <c r="N256" t="s">
        <v>72</v>
      </c>
      <c r="O256"/>
      <c r="P256" t="s">
        <v>157</v>
      </c>
      <c r="Q256" t="s">
        <v>135</v>
      </c>
      <c r="R256" t="s">
        <v>31</v>
      </c>
      <c r="S256" t="s">
        <v>32</v>
      </c>
      <c r="U256" t="b">
        <v>1</v>
      </c>
      <c r="V256" t="b">
        <v>1</v>
      </c>
      <c r="W256" t="b">
        <v>0</v>
      </c>
      <c r="Y256" s="38"/>
      <c r="AS256"/>
    </row>
    <row r="257" spans="1:45" x14ac:dyDescent="0.3">
      <c r="A257">
        <v>315</v>
      </c>
      <c r="B257" t="s">
        <v>71</v>
      </c>
      <c r="E257" t="s">
        <v>217</v>
      </c>
      <c r="F257" t="s">
        <v>17</v>
      </c>
      <c r="G257" s="39">
        <v>45207.916666666664</v>
      </c>
      <c r="H257">
        <v>10</v>
      </c>
      <c r="I257">
        <v>2023</v>
      </c>
      <c r="J257" s="38"/>
      <c r="K257" t="s">
        <v>118</v>
      </c>
      <c r="L257" t="s">
        <v>119</v>
      </c>
      <c r="M257" t="s">
        <v>137</v>
      </c>
      <c r="N257" t="s">
        <v>72</v>
      </c>
      <c r="O257"/>
      <c r="P257" t="s">
        <v>34</v>
      </c>
      <c r="Q257" t="s">
        <v>135</v>
      </c>
      <c r="R257" t="s">
        <v>31</v>
      </c>
      <c r="S257" t="s">
        <v>32</v>
      </c>
      <c r="U257" t="b">
        <v>1</v>
      </c>
      <c r="V257" t="b">
        <v>1</v>
      </c>
      <c r="W257" t="b">
        <v>0</v>
      </c>
      <c r="Y257" s="38"/>
      <c r="AS257"/>
    </row>
    <row r="258" spans="1:45" x14ac:dyDescent="0.3">
      <c r="A258">
        <v>314</v>
      </c>
      <c r="B258" t="s">
        <v>200</v>
      </c>
      <c r="E258" t="s">
        <v>218</v>
      </c>
      <c r="F258" t="s">
        <v>17</v>
      </c>
      <c r="G258" s="39">
        <v>45207.916666666664</v>
      </c>
      <c r="H258">
        <v>10</v>
      </c>
      <c r="I258">
        <v>2023</v>
      </c>
      <c r="J258" s="38"/>
      <c r="K258" t="s">
        <v>166</v>
      </c>
      <c r="L258" t="s">
        <v>182</v>
      </c>
      <c r="M258" t="s">
        <v>14</v>
      </c>
      <c r="N258" t="s">
        <v>72</v>
      </c>
      <c r="O258"/>
      <c r="P258" t="s">
        <v>199</v>
      </c>
      <c r="Q258" t="s">
        <v>167</v>
      </c>
      <c r="R258" t="s">
        <v>168</v>
      </c>
      <c r="S258" t="s">
        <v>32</v>
      </c>
      <c r="U258" t="b">
        <v>0</v>
      </c>
      <c r="V258" t="b">
        <v>1</v>
      </c>
      <c r="W258" t="b">
        <v>0</v>
      </c>
      <c r="Y258" s="38"/>
      <c r="AS258"/>
    </row>
    <row r="259" spans="1:45" x14ac:dyDescent="0.3">
      <c r="A259">
        <v>313</v>
      </c>
      <c r="B259" t="s">
        <v>71</v>
      </c>
      <c r="E259" t="s">
        <v>209</v>
      </c>
      <c r="F259" t="s">
        <v>17</v>
      </c>
      <c r="G259" s="39">
        <v>45205.916666666664</v>
      </c>
      <c r="H259">
        <v>10</v>
      </c>
      <c r="I259">
        <v>2023</v>
      </c>
      <c r="J259" s="38"/>
      <c r="K259" t="s">
        <v>173</v>
      </c>
      <c r="L259" t="s">
        <v>174</v>
      </c>
      <c r="M259" t="s">
        <v>14</v>
      </c>
      <c r="N259" t="s">
        <v>159</v>
      </c>
      <c r="O259"/>
      <c r="P259" t="s">
        <v>83</v>
      </c>
      <c r="Q259" t="s">
        <v>135</v>
      </c>
      <c r="R259" t="s">
        <v>31</v>
      </c>
      <c r="S259" t="s">
        <v>32</v>
      </c>
      <c r="U259" t="b">
        <v>1</v>
      </c>
      <c r="V259" t="b">
        <v>1</v>
      </c>
      <c r="W259" t="b">
        <v>0</v>
      </c>
      <c r="Y259" s="38"/>
      <c r="AS259"/>
    </row>
    <row r="260" spans="1:45" x14ac:dyDescent="0.3">
      <c r="A260">
        <v>312</v>
      </c>
      <c r="B260" t="s">
        <v>156</v>
      </c>
      <c r="E260" t="s">
        <v>203</v>
      </c>
      <c r="F260" t="s">
        <v>17</v>
      </c>
      <c r="G260" s="39">
        <v>45204.916666666664</v>
      </c>
      <c r="H260">
        <v>10</v>
      </c>
      <c r="I260">
        <v>2023</v>
      </c>
      <c r="J260" s="38"/>
      <c r="K260" t="s">
        <v>178</v>
      </c>
      <c r="L260" t="s">
        <v>80</v>
      </c>
      <c r="M260" t="s">
        <v>14</v>
      </c>
      <c r="N260" t="s">
        <v>72</v>
      </c>
      <c r="O260"/>
      <c r="P260" t="s">
        <v>169</v>
      </c>
      <c r="Q260" t="s">
        <v>135</v>
      </c>
      <c r="R260" t="s">
        <v>31</v>
      </c>
      <c r="S260" t="s">
        <v>32</v>
      </c>
      <c r="U260" t="b">
        <v>1</v>
      </c>
      <c r="V260" t="b">
        <v>1</v>
      </c>
      <c r="W260" t="b">
        <v>0</v>
      </c>
      <c r="Y260" s="38"/>
      <c r="AS260"/>
    </row>
    <row r="261" spans="1:45" x14ac:dyDescent="0.3">
      <c r="A261">
        <v>311</v>
      </c>
      <c r="B261" t="s">
        <v>71</v>
      </c>
      <c r="E261" t="s">
        <v>204</v>
      </c>
      <c r="F261" t="s">
        <v>17</v>
      </c>
      <c r="G261" s="39">
        <v>45204.916666666664</v>
      </c>
      <c r="H261">
        <v>10</v>
      </c>
      <c r="I261">
        <v>2023</v>
      </c>
      <c r="J261" s="38"/>
      <c r="K261" t="s">
        <v>178</v>
      </c>
      <c r="L261" t="s">
        <v>80</v>
      </c>
      <c r="M261" t="s">
        <v>14</v>
      </c>
      <c r="N261" t="s">
        <v>72</v>
      </c>
      <c r="O261"/>
      <c r="P261" t="s">
        <v>34</v>
      </c>
      <c r="Q261" t="s">
        <v>135</v>
      </c>
      <c r="R261" t="s">
        <v>31</v>
      </c>
      <c r="S261" t="s">
        <v>33</v>
      </c>
      <c r="U261" t="b">
        <v>1</v>
      </c>
      <c r="V261" t="b">
        <v>1</v>
      </c>
      <c r="W261" t="b">
        <v>0</v>
      </c>
      <c r="Y261" s="38"/>
      <c r="AS261"/>
    </row>
    <row r="262" spans="1:45" x14ac:dyDescent="0.3">
      <c r="A262">
        <v>310</v>
      </c>
      <c r="B262" t="s">
        <v>158</v>
      </c>
      <c r="E262" t="s">
        <v>208</v>
      </c>
      <c r="F262" t="s">
        <v>17</v>
      </c>
      <c r="G262" s="39">
        <v>45204.916666666664</v>
      </c>
      <c r="H262">
        <v>10</v>
      </c>
      <c r="I262">
        <v>2023</v>
      </c>
      <c r="J262" s="38"/>
      <c r="K262" t="s">
        <v>178</v>
      </c>
      <c r="L262" t="s">
        <v>80</v>
      </c>
      <c r="M262" t="s">
        <v>14</v>
      </c>
      <c r="N262" t="s">
        <v>72</v>
      </c>
      <c r="O262"/>
      <c r="P262" t="s">
        <v>157</v>
      </c>
      <c r="Q262" t="s">
        <v>135</v>
      </c>
      <c r="R262" t="s">
        <v>31</v>
      </c>
      <c r="S262" t="s">
        <v>32</v>
      </c>
      <c r="U262" t="b">
        <v>1</v>
      </c>
      <c r="V262" t="b">
        <v>1</v>
      </c>
      <c r="W262" t="b">
        <v>0</v>
      </c>
      <c r="Y262" s="38"/>
      <c r="AS262"/>
    </row>
    <row r="263" spans="1:45" x14ac:dyDescent="0.3">
      <c r="A263">
        <v>309</v>
      </c>
      <c r="B263" t="s">
        <v>171</v>
      </c>
      <c r="E263" t="s">
        <v>215</v>
      </c>
      <c r="F263" t="s">
        <v>17</v>
      </c>
      <c r="G263" s="39">
        <v>45204.916666666664</v>
      </c>
      <c r="H263">
        <v>10</v>
      </c>
      <c r="I263">
        <v>2023</v>
      </c>
      <c r="J263" s="38"/>
      <c r="K263" t="s">
        <v>118</v>
      </c>
      <c r="L263" t="s">
        <v>119</v>
      </c>
      <c r="M263" t="s">
        <v>137</v>
      </c>
      <c r="N263" t="s">
        <v>72</v>
      </c>
      <c r="O263"/>
      <c r="P263" t="s">
        <v>170</v>
      </c>
      <c r="Q263" t="s">
        <v>135</v>
      </c>
      <c r="R263" t="s">
        <v>31</v>
      </c>
      <c r="S263" t="s">
        <v>32</v>
      </c>
      <c r="U263" t="b">
        <v>1</v>
      </c>
      <c r="V263" t="b">
        <v>1</v>
      </c>
      <c r="W263" t="b">
        <v>0</v>
      </c>
      <c r="Y263" s="38"/>
      <c r="AS263"/>
    </row>
    <row r="264" spans="1:45" x14ac:dyDescent="0.3">
      <c r="A264">
        <v>308</v>
      </c>
      <c r="B264" t="s">
        <v>71</v>
      </c>
      <c r="E264" t="s">
        <v>197</v>
      </c>
      <c r="F264" t="s">
        <v>17</v>
      </c>
      <c r="G264" s="39">
        <v>45202.916666666664</v>
      </c>
      <c r="H264">
        <v>10</v>
      </c>
      <c r="I264">
        <v>2023</v>
      </c>
      <c r="J264" s="38"/>
      <c r="K264" t="s">
        <v>140</v>
      </c>
      <c r="L264" t="s">
        <v>141</v>
      </c>
      <c r="M264" t="s">
        <v>142</v>
      </c>
      <c r="N264" t="s">
        <v>165</v>
      </c>
      <c r="O264"/>
      <c r="P264" t="s">
        <v>101</v>
      </c>
      <c r="Q264" t="s">
        <v>143</v>
      </c>
      <c r="R264" t="s">
        <v>144</v>
      </c>
      <c r="S264" t="s">
        <v>32</v>
      </c>
      <c r="U264" t="b">
        <v>1</v>
      </c>
      <c r="V264" t="b">
        <v>1</v>
      </c>
      <c r="W264" t="b">
        <v>0</v>
      </c>
      <c r="Y264" s="38"/>
      <c r="AS264"/>
    </row>
    <row r="265" spans="1:45" x14ac:dyDescent="0.3">
      <c r="A265">
        <v>307</v>
      </c>
      <c r="B265" t="s">
        <v>200</v>
      </c>
      <c r="E265" t="s">
        <v>198</v>
      </c>
      <c r="F265" t="s">
        <v>17</v>
      </c>
      <c r="G265" s="39">
        <v>45202.916666666664</v>
      </c>
      <c r="H265">
        <v>10</v>
      </c>
      <c r="I265">
        <v>2023</v>
      </c>
      <c r="J265" s="38"/>
      <c r="K265" t="s">
        <v>178</v>
      </c>
      <c r="L265" t="s">
        <v>80</v>
      </c>
      <c r="M265" t="s">
        <v>14</v>
      </c>
      <c r="N265" t="s">
        <v>72</v>
      </c>
      <c r="O265"/>
      <c r="P265" t="s">
        <v>199</v>
      </c>
      <c r="Q265" t="s">
        <v>135</v>
      </c>
      <c r="R265" t="s">
        <v>31</v>
      </c>
      <c r="S265" t="s">
        <v>79</v>
      </c>
      <c r="U265" t="b">
        <v>0</v>
      </c>
      <c r="V265" t="b">
        <v>1</v>
      </c>
      <c r="W265" t="b">
        <v>0</v>
      </c>
      <c r="Y265" s="38"/>
      <c r="AS265"/>
    </row>
    <row r="266" spans="1:45" x14ac:dyDescent="0.3">
      <c r="A266">
        <v>306</v>
      </c>
      <c r="B266" t="s">
        <v>171</v>
      </c>
      <c r="E266" t="s">
        <v>201</v>
      </c>
      <c r="F266" t="s">
        <v>17</v>
      </c>
      <c r="G266" s="39">
        <v>45203.916666666664</v>
      </c>
      <c r="H266">
        <v>10</v>
      </c>
      <c r="I266">
        <v>2023</v>
      </c>
      <c r="J266" s="38"/>
      <c r="K266" t="s">
        <v>178</v>
      </c>
      <c r="L266" t="s">
        <v>80</v>
      </c>
      <c r="M266" t="s">
        <v>14</v>
      </c>
      <c r="N266" t="s">
        <v>72</v>
      </c>
      <c r="O266"/>
      <c r="P266" t="s">
        <v>170</v>
      </c>
      <c r="Q266" t="s">
        <v>135</v>
      </c>
      <c r="R266" t="s">
        <v>31</v>
      </c>
      <c r="S266" t="s">
        <v>32</v>
      </c>
      <c r="U266" t="b">
        <v>0</v>
      </c>
      <c r="V266" t="b">
        <v>1</v>
      </c>
      <c r="W266" t="b">
        <v>0</v>
      </c>
      <c r="Y266" s="38"/>
      <c r="AS266"/>
    </row>
    <row r="267" spans="1:45" x14ac:dyDescent="0.3">
      <c r="A267">
        <v>305</v>
      </c>
      <c r="B267" t="s">
        <v>71</v>
      </c>
      <c r="E267" t="s">
        <v>202</v>
      </c>
      <c r="F267" t="s">
        <v>17</v>
      </c>
      <c r="G267" s="39">
        <v>45203.916666666664</v>
      </c>
      <c r="H267">
        <v>10</v>
      </c>
      <c r="I267">
        <v>2023</v>
      </c>
      <c r="J267" s="38"/>
      <c r="K267" t="s">
        <v>125</v>
      </c>
      <c r="L267" t="s">
        <v>126</v>
      </c>
      <c r="M267" t="s">
        <v>13</v>
      </c>
      <c r="N267" t="s">
        <v>165</v>
      </c>
      <c r="O267"/>
      <c r="P267" t="s">
        <v>101</v>
      </c>
      <c r="Q267" t="s">
        <v>164</v>
      </c>
      <c r="R267" t="s">
        <v>132</v>
      </c>
      <c r="S267" t="s">
        <v>32</v>
      </c>
      <c r="U267" t="b">
        <v>1</v>
      </c>
      <c r="V267" t="b">
        <v>1</v>
      </c>
      <c r="W267" t="b">
        <v>0</v>
      </c>
      <c r="Y267" s="38"/>
      <c r="AS267"/>
    </row>
    <row r="268" spans="1:45" x14ac:dyDescent="0.3">
      <c r="A268">
        <v>304</v>
      </c>
      <c r="B268" t="s">
        <v>71</v>
      </c>
      <c r="E268" t="s">
        <v>205</v>
      </c>
      <c r="F268" t="s">
        <v>17</v>
      </c>
      <c r="G268" s="39">
        <v>45203.916666666664</v>
      </c>
      <c r="H268">
        <v>10</v>
      </c>
      <c r="I268">
        <v>2023</v>
      </c>
      <c r="J268" s="38"/>
      <c r="K268" t="s">
        <v>125</v>
      </c>
      <c r="L268" t="s">
        <v>126</v>
      </c>
      <c r="M268" t="s">
        <v>123</v>
      </c>
      <c r="N268" t="s">
        <v>165</v>
      </c>
      <c r="O268"/>
      <c r="P268" t="s">
        <v>101</v>
      </c>
      <c r="Q268" t="s">
        <v>139</v>
      </c>
      <c r="R268" t="s">
        <v>117</v>
      </c>
      <c r="S268" t="s">
        <v>32</v>
      </c>
      <c r="U268" t="b">
        <v>1</v>
      </c>
      <c r="V268" t="b">
        <v>1</v>
      </c>
      <c r="W268" t="b">
        <v>0</v>
      </c>
      <c r="Y268" s="38"/>
      <c r="AS268"/>
    </row>
    <row r="269" spans="1:45" x14ac:dyDescent="0.3">
      <c r="A269">
        <v>303</v>
      </c>
      <c r="B269" t="s">
        <v>171</v>
      </c>
      <c r="E269" t="s">
        <v>206</v>
      </c>
      <c r="F269" t="s">
        <v>17</v>
      </c>
      <c r="G269" s="39">
        <v>45203.916666666664</v>
      </c>
      <c r="H269">
        <v>10</v>
      </c>
      <c r="I269">
        <v>2023</v>
      </c>
      <c r="J269" s="38"/>
      <c r="K269" t="s">
        <v>175</v>
      </c>
      <c r="L269" t="s">
        <v>176</v>
      </c>
      <c r="M269" t="s">
        <v>14</v>
      </c>
      <c r="N269" t="s">
        <v>177</v>
      </c>
      <c r="O269"/>
      <c r="P269" t="s">
        <v>207</v>
      </c>
      <c r="Q269" t="s">
        <v>145</v>
      </c>
      <c r="R269" t="s">
        <v>12</v>
      </c>
      <c r="S269" t="s">
        <v>32</v>
      </c>
      <c r="U269" t="b">
        <v>1</v>
      </c>
      <c r="V269" t="b">
        <v>1</v>
      </c>
      <c r="W269" t="b">
        <v>0</v>
      </c>
      <c r="Y269" s="38"/>
      <c r="AS269"/>
    </row>
    <row r="270" spans="1:45" x14ac:dyDescent="0.3">
      <c r="A270">
        <v>302</v>
      </c>
      <c r="B270" t="s">
        <v>156</v>
      </c>
      <c r="E270" t="s">
        <v>210</v>
      </c>
      <c r="F270" t="s">
        <v>17</v>
      </c>
      <c r="G270" s="39">
        <v>45203.916666666664</v>
      </c>
      <c r="H270">
        <v>10</v>
      </c>
      <c r="I270">
        <v>2023</v>
      </c>
      <c r="J270" s="38"/>
      <c r="K270" t="s">
        <v>89</v>
      </c>
      <c r="L270" t="s">
        <v>194</v>
      </c>
      <c r="M270" t="s">
        <v>93</v>
      </c>
      <c r="N270" t="s">
        <v>159</v>
      </c>
      <c r="O270"/>
      <c r="P270" t="s">
        <v>155</v>
      </c>
      <c r="Q270" t="s">
        <v>94</v>
      </c>
      <c r="R270" t="s">
        <v>87</v>
      </c>
      <c r="S270" t="s">
        <v>32</v>
      </c>
      <c r="U270" t="b">
        <v>1</v>
      </c>
      <c r="V270" t="b">
        <v>1</v>
      </c>
      <c r="W270" t="b">
        <v>0</v>
      </c>
      <c r="Y270" s="38"/>
      <c r="AS270"/>
    </row>
    <row r="271" spans="1:45" x14ac:dyDescent="0.3">
      <c r="A271">
        <v>301</v>
      </c>
      <c r="B271" t="s">
        <v>156</v>
      </c>
      <c r="E271" t="s">
        <v>211</v>
      </c>
      <c r="F271" t="s">
        <v>17</v>
      </c>
      <c r="G271" s="39">
        <v>45203.916666666664</v>
      </c>
      <c r="H271">
        <v>10</v>
      </c>
      <c r="I271">
        <v>2023</v>
      </c>
      <c r="J271" s="38"/>
      <c r="K271" t="s">
        <v>89</v>
      </c>
      <c r="L271" t="s">
        <v>194</v>
      </c>
      <c r="M271" t="s">
        <v>95</v>
      </c>
      <c r="N271" t="s">
        <v>159</v>
      </c>
      <c r="O271"/>
      <c r="P271" t="s">
        <v>155</v>
      </c>
      <c r="Q271" t="s">
        <v>96</v>
      </c>
      <c r="R271" t="s">
        <v>97</v>
      </c>
      <c r="S271" t="s">
        <v>32</v>
      </c>
      <c r="U271" t="b">
        <v>1</v>
      </c>
      <c r="V271" t="b">
        <v>1</v>
      </c>
      <c r="W271" t="b">
        <v>0</v>
      </c>
      <c r="Y271" s="38"/>
      <c r="AS271"/>
    </row>
    <row r="272" spans="1:45" x14ac:dyDescent="0.3">
      <c r="A272">
        <v>300</v>
      </c>
      <c r="B272" t="s">
        <v>156</v>
      </c>
      <c r="E272" t="s">
        <v>212</v>
      </c>
      <c r="F272" t="s">
        <v>17</v>
      </c>
      <c r="G272" s="39">
        <v>45203.916666666664</v>
      </c>
      <c r="H272">
        <v>10</v>
      </c>
      <c r="I272">
        <v>2023</v>
      </c>
      <c r="J272" s="38"/>
      <c r="K272" t="s">
        <v>89</v>
      </c>
      <c r="L272" t="s">
        <v>194</v>
      </c>
      <c r="M272" t="s">
        <v>90</v>
      </c>
      <c r="N272" t="s">
        <v>159</v>
      </c>
      <c r="O272"/>
      <c r="P272" t="s">
        <v>155</v>
      </c>
      <c r="Q272" t="s">
        <v>91</v>
      </c>
      <c r="R272" t="s">
        <v>92</v>
      </c>
      <c r="S272" t="s">
        <v>32</v>
      </c>
      <c r="U272" t="b">
        <v>1</v>
      </c>
      <c r="V272" t="b">
        <v>1</v>
      </c>
      <c r="W272" t="b">
        <v>0</v>
      </c>
      <c r="Y272" s="38"/>
      <c r="AS272"/>
    </row>
    <row r="273" spans="1:45" x14ac:dyDescent="0.3">
      <c r="A273">
        <v>299</v>
      </c>
      <c r="B273" t="s">
        <v>156</v>
      </c>
      <c r="E273" t="s">
        <v>213</v>
      </c>
      <c r="F273" t="s">
        <v>17</v>
      </c>
      <c r="G273" s="39">
        <v>45203.916666666664</v>
      </c>
      <c r="H273">
        <v>10</v>
      </c>
      <c r="I273">
        <v>2023</v>
      </c>
      <c r="J273" s="38"/>
      <c r="K273" t="s">
        <v>89</v>
      </c>
      <c r="L273" t="s">
        <v>194</v>
      </c>
      <c r="M273" t="s">
        <v>154</v>
      </c>
      <c r="N273" t="s">
        <v>159</v>
      </c>
      <c r="O273"/>
      <c r="P273" t="s">
        <v>155</v>
      </c>
      <c r="Q273" t="s">
        <v>96</v>
      </c>
      <c r="R273" t="s">
        <v>97</v>
      </c>
      <c r="S273" t="s">
        <v>32</v>
      </c>
      <c r="U273" t="b">
        <v>1</v>
      </c>
      <c r="V273" t="b">
        <v>1</v>
      </c>
      <c r="W273" t="b">
        <v>0</v>
      </c>
      <c r="Y273" s="38"/>
      <c r="AS273"/>
    </row>
    <row r="274" spans="1:45" x14ac:dyDescent="0.3">
      <c r="A274">
        <v>298</v>
      </c>
      <c r="B274" t="s">
        <v>200</v>
      </c>
      <c r="E274" t="s">
        <v>214</v>
      </c>
      <c r="F274" t="s">
        <v>17</v>
      </c>
      <c r="G274" s="39">
        <v>45203.916666666664</v>
      </c>
      <c r="H274">
        <v>10</v>
      </c>
      <c r="I274">
        <v>2023</v>
      </c>
      <c r="J274" s="38"/>
      <c r="K274" t="s">
        <v>118</v>
      </c>
      <c r="L274" t="s">
        <v>119</v>
      </c>
      <c r="M274" t="s">
        <v>137</v>
      </c>
      <c r="N274" t="s">
        <v>72</v>
      </c>
      <c r="O274"/>
      <c r="P274" t="s">
        <v>199</v>
      </c>
      <c r="Q274" t="s">
        <v>135</v>
      </c>
      <c r="R274" t="s">
        <v>31</v>
      </c>
      <c r="S274" t="s">
        <v>32</v>
      </c>
      <c r="U274" t="b">
        <v>1</v>
      </c>
      <c r="V274" t="b">
        <v>1</v>
      </c>
      <c r="W274" t="b">
        <v>0</v>
      </c>
      <c r="Y274" s="38"/>
      <c r="AS274"/>
    </row>
    <row r="275" spans="1:45" x14ac:dyDescent="0.3">
      <c r="A275">
        <v>297</v>
      </c>
      <c r="B275" t="s">
        <v>71</v>
      </c>
      <c r="E275" t="s">
        <v>191</v>
      </c>
      <c r="F275" t="s">
        <v>17</v>
      </c>
      <c r="G275" s="39">
        <v>45197.916666666664</v>
      </c>
      <c r="H275">
        <v>9</v>
      </c>
      <c r="I275">
        <v>2023</v>
      </c>
      <c r="J275" s="38"/>
      <c r="K275" t="s">
        <v>133</v>
      </c>
      <c r="L275" t="s">
        <v>134</v>
      </c>
      <c r="M275" t="s">
        <v>128</v>
      </c>
      <c r="N275" t="s">
        <v>72</v>
      </c>
      <c r="O275"/>
      <c r="P275" t="s">
        <v>34</v>
      </c>
      <c r="Q275" t="s">
        <v>192</v>
      </c>
      <c r="R275" t="s">
        <v>12</v>
      </c>
      <c r="S275" t="s">
        <v>32</v>
      </c>
      <c r="U275" t="b">
        <v>1</v>
      </c>
      <c r="V275" t="b">
        <v>1</v>
      </c>
      <c r="W275" t="b">
        <v>0</v>
      </c>
      <c r="Y275" s="38"/>
      <c r="AS275"/>
    </row>
    <row r="276" spans="1:45" x14ac:dyDescent="0.3">
      <c r="A276">
        <v>296</v>
      </c>
      <c r="B276" t="s">
        <v>71</v>
      </c>
      <c r="E276" t="s">
        <v>193</v>
      </c>
      <c r="F276" t="s">
        <v>17</v>
      </c>
      <c r="G276" s="39">
        <v>45197.916666666664</v>
      </c>
      <c r="H276">
        <v>9</v>
      </c>
      <c r="I276">
        <v>2023</v>
      </c>
      <c r="J276" s="38"/>
      <c r="K276" t="s">
        <v>89</v>
      </c>
      <c r="L276" t="s">
        <v>194</v>
      </c>
      <c r="M276" t="s">
        <v>154</v>
      </c>
      <c r="N276" t="s">
        <v>159</v>
      </c>
      <c r="O276"/>
      <c r="P276" t="s">
        <v>83</v>
      </c>
      <c r="Q276" t="s">
        <v>96</v>
      </c>
      <c r="R276" t="s">
        <v>97</v>
      </c>
      <c r="S276" t="s">
        <v>32</v>
      </c>
      <c r="U276" t="b">
        <v>1</v>
      </c>
      <c r="V276" t="b">
        <v>1</v>
      </c>
      <c r="W276" t="b">
        <v>0</v>
      </c>
      <c r="Y276" s="38"/>
      <c r="AS276"/>
    </row>
    <row r="277" spans="1:45" x14ac:dyDescent="0.3">
      <c r="A277">
        <v>295</v>
      </c>
      <c r="B277" t="s">
        <v>71</v>
      </c>
      <c r="E277" t="s">
        <v>195</v>
      </c>
      <c r="F277" t="s">
        <v>17</v>
      </c>
      <c r="G277" s="39">
        <v>45197.916666666664</v>
      </c>
      <c r="H277">
        <v>9</v>
      </c>
      <c r="I277">
        <v>2023</v>
      </c>
      <c r="J277" s="38"/>
      <c r="K277" t="s">
        <v>133</v>
      </c>
      <c r="L277" t="s">
        <v>134</v>
      </c>
      <c r="M277" t="s">
        <v>123</v>
      </c>
      <c r="N277" t="s">
        <v>72</v>
      </c>
      <c r="O277"/>
      <c r="P277" t="s">
        <v>34</v>
      </c>
      <c r="Q277" t="s">
        <v>135</v>
      </c>
      <c r="R277" t="s">
        <v>7</v>
      </c>
      <c r="S277" t="s">
        <v>32</v>
      </c>
      <c r="U277" t="b">
        <v>1</v>
      </c>
      <c r="V277" t="b">
        <v>1</v>
      </c>
      <c r="W277" t="b">
        <v>0</v>
      </c>
      <c r="Y277" s="38"/>
      <c r="AS277"/>
    </row>
    <row r="278" spans="1:45" x14ac:dyDescent="0.3">
      <c r="A278">
        <v>294</v>
      </c>
      <c r="B278" t="s">
        <v>71</v>
      </c>
      <c r="E278" t="s">
        <v>196</v>
      </c>
      <c r="F278" t="s">
        <v>17</v>
      </c>
      <c r="G278" s="39">
        <v>45197.916666666664</v>
      </c>
      <c r="H278">
        <v>9</v>
      </c>
      <c r="I278">
        <v>2023</v>
      </c>
      <c r="J278" s="38"/>
      <c r="K278" t="s">
        <v>102</v>
      </c>
      <c r="L278" t="s">
        <v>103</v>
      </c>
      <c r="M278" t="s">
        <v>106</v>
      </c>
      <c r="N278" t="s">
        <v>159</v>
      </c>
      <c r="O278"/>
      <c r="P278" t="s">
        <v>83</v>
      </c>
      <c r="Q278" t="s">
        <v>108</v>
      </c>
      <c r="R278" t="s">
        <v>109</v>
      </c>
      <c r="S278" t="s">
        <v>32</v>
      </c>
      <c r="U278" t="b">
        <v>1</v>
      </c>
      <c r="V278" t="b">
        <v>1</v>
      </c>
      <c r="W278" t="b">
        <v>0</v>
      </c>
      <c r="Y278" s="38"/>
      <c r="AS278"/>
    </row>
    <row r="279" spans="1:45" x14ac:dyDescent="0.3">
      <c r="A279">
        <v>293</v>
      </c>
      <c r="B279" t="s">
        <v>71</v>
      </c>
      <c r="E279" t="s">
        <v>183</v>
      </c>
      <c r="F279" t="s">
        <v>17</v>
      </c>
      <c r="G279" s="39">
        <v>45187.916666666664</v>
      </c>
      <c r="H279">
        <v>9</v>
      </c>
      <c r="I279">
        <v>2023</v>
      </c>
      <c r="J279" s="38"/>
      <c r="K279" t="s">
        <v>125</v>
      </c>
      <c r="L279" t="s">
        <v>126</v>
      </c>
      <c r="M279" t="s">
        <v>13</v>
      </c>
      <c r="N279" t="s">
        <v>165</v>
      </c>
      <c r="O279"/>
      <c r="P279" t="s">
        <v>101</v>
      </c>
      <c r="Q279" t="s">
        <v>164</v>
      </c>
      <c r="R279" t="s">
        <v>132</v>
      </c>
      <c r="S279" t="s">
        <v>32</v>
      </c>
      <c r="U279" t="b">
        <v>1</v>
      </c>
      <c r="V279" t="b">
        <v>1</v>
      </c>
      <c r="W279" t="b">
        <v>0</v>
      </c>
      <c r="Y279" s="38"/>
      <c r="AS279"/>
    </row>
    <row r="280" spans="1:45" x14ac:dyDescent="0.3">
      <c r="A280">
        <v>292</v>
      </c>
      <c r="B280" t="s">
        <v>71</v>
      </c>
      <c r="E280" t="s">
        <v>184</v>
      </c>
      <c r="F280" t="s">
        <v>17</v>
      </c>
      <c r="G280" s="39">
        <v>45187.916666666664</v>
      </c>
      <c r="H280">
        <v>9</v>
      </c>
      <c r="I280">
        <v>2023</v>
      </c>
      <c r="J280" s="38"/>
      <c r="K280" t="s">
        <v>125</v>
      </c>
      <c r="L280" t="s">
        <v>126</v>
      </c>
      <c r="M280" t="s">
        <v>123</v>
      </c>
      <c r="N280" t="s">
        <v>165</v>
      </c>
      <c r="O280"/>
      <c r="P280" t="s">
        <v>101</v>
      </c>
      <c r="Q280" t="s">
        <v>139</v>
      </c>
      <c r="R280" t="s">
        <v>117</v>
      </c>
      <c r="S280" t="s">
        <v>32</v>
      </c>
      <c r="U280" t="b">
        <v>1</v>
      </c>
      <c r="V280" t="b">
        <v>1</v>
      </c>
      <c r="W280" t="b">
        <v>0</v>
      </c>
      <c r="Y280" s="38"/>
      <c r="AS280"/>
    </row>
    <row r="281" spans="1:45" x14ac:dyDescent="0.3">
      <c r="A281">
        <v>291</v>
      </c>
      <c r="B281" t="s">
        <v>71</v>
      </c>
      <c r="E281" t="s">
        <v>188</v>
      </c>
      <c r="F281" t="s">
        <v>17</v>
      </c>
      <c r="G281" s="39">
        <v>45189.916666666664</v>
      </c>
      <c r="H281">
        <v>9</v>
      </c>
      <c r="I281">
        <v>2023</v>
      </c>
      <c r="J281" s="38"/>
      <c r="K281" t="s">
        <v>189</v>
      </c>
      <c r="L281" t="s">
        <v>190</v>
      </c>
      <c r="M281" t="s">
        <v>178</v>
      </c>
      <c r="N281" t="s">
        <v>72</v>
      </c>
      <c r="O281"/>
      <c r="P281" t="s">
        <v>34</v>
      </c>
      <c r="Q281" t="s">
        <v>60</v>
      </c>
      <c r="R281" t="s">
        <v>31</v>
      </c>
      <c r="S281" t="s">
        <v>32</v>
      </c>
      <c r="U281" t="b">
        <v>1</v>
      </c>
      <c r="V281" t="b">
        <v>1</v>
      </c>
      <c r="W281" t="b">
        <v>0</v>
      </c>
      <c r="Y281" s="38"/>
      <c r="AS281"/>
    </row>
    <row r="282" spans="1:45" x14ac:dyDescent="0.3">
      <c r="A282">
        <v>290</v>
      </c>
      <c r="B282" t="s">
        <v>158</v>
      </c>
      <c r="E282" t="s">
        <v>181</v>
      </c>
      <c r="F282" t="s">
        <v>17</v>
      </c>
      <c r="G282" s="39">
        <v>45179.916666666664</v>
      </c>
      <c r="H282">
        <v>9</v>
      </c>
      <c r="I282">
        <v>2023</v>
      </c>
      <c r="J282" s="38"/>
      <c r="K282" t="s">
        <v>166</v>
      </c>
      <c r="L282" t="s">
        <v>182</v>
      </c>
      <c r="M282" t="s">
        <v>14</v>
      </c>
      <c r="N282" t="s">
        <v>72</v>
      </c>
      <c r="O282"/>
      <c r="P282" t="s">
        <v>157</v>
      </c>
      <c r="Q282" t="s">
        <v>167</v>
      </c>
      <c r="R282" t="s">
        <v>168</v>
      </c>
      <c r="S282" t="s">
        <v>32</v>
      </c>
      <c r="U282" t="b">
        <v>0</v>
      </c>
      <c r="V282" t="b">
        <v>1</v>
      </c>
      <c r="W282" t="b">
        <v>0</v>
      </c>
      <c r="Y282" s="38"/>
      <c r="AS282"/>
    </row>
    <row r="283" spans="1:45" x14ac:dyDescent="0.3">
      <c r="A283">
        <v>289</v>
      </c>
      <c r="B283" t="s">
        <v>187</v>
      </c>
      <c r="E283" t="s">
        <v>185</v>
      </c>
      <c r="F283" t="s">
        <v>17</v>
      </c>
      <c r="G283" s="39">
        <v>45175.916666666664</v>
      </c>
      <c r="H283">
        <v>9</v>
      </c>
      <c r="I283">
        <v>2023</v>
      </c>
      <c r="J283" s="38"/>
      <c r="K283" t="s">
        <v>175</v>
      </c>
      <c r="L283" t="s">
        <v>176</v>
      </c>
      <c r="M283" t="s">
        <v>14</v>
      </c>
      <c r="N283" t="s">
        <v>177</v>
      </c>
      <c r="O283"/>
      <c r="P283" t="s">
        <v>186</v>
      </c>
      <c r="Q283" t="s">
        <v>145</v>
      </c>
      <c r="R283" t="s">
        <v>12</v>
      </c>
      <c r="S283" t="s">
        <v>78</v>
      </c>
      <c r="U283" t="b">
        <v>0</v>
      </c>
      <c r="V283" t="b">
        <v>1</v>
      </c>
      <c r="W283" t="b">
        <v>0</v>
      </c>
      <c r="Y283" s="38"/>
      <c r="AS283"/>
    </row>
    <row r="284" spans="1:45" x14ac:dyDescent="0.3">
      <c r="A284">
        <v>288</v>
      </c>
      <c r="B284" t="s">
        <v>71</v>
      </c>
      <c r="E284" t="s">
        <v>679</v>
      </c>
      <c r="F284" t="s">
        <v>17</v>
      </c>
      <c r="G284" s="39">
        <v>44953.958333333336</v>
      </c>
      <c r="H284">
        <v>1</v>
      </c>
      <c r="I284">
        <v>2023</v>
      </c>
      <c r="J284" s="38"/>
      <c r="K284" t="s">
        <v>125</v>
      </c>
      <c r="L284" t="s">
        <v>126</v>
      </c>
      <c r="M284" t="s">
        <v>355</v>
      </c>
      <c r="O284"/>
      <c r="P284" t="s">
        <v>83</v>
      </c>
      <c r="Q284" t="s">
        <v>356</v>
      </c>
      <c r="R284" t="s">
        <v>12</v>
      </c>
      <c r="U284" t="b">
        <v>1</v>
      </c>
      <c r="V284" t="b">
        <v>1</v>
      </c>
      <c r="W284" t="b">
        <v>1</v>
      </c>
      <c r="Y284" s="38"/>
      <c r="AS284"/>
    </row>
    <row r="285" spans="1:45" x14ac:dyDescent="0.3">
      <c r="A285">
        <v>287</v>
      </c>
      <c r="B285" t="s">
        <v>71</v>
      </c>
      <c r="E285" t="s">
        <v>678</v>
      </c>
      <c r="F285" t="s">
        <v>17</v>
      </c>
      <c r="G285" s="39">
        <v>44952.958333333336</v>
      </c>
      <c r="H285">
        <v>1</v>
      </c>
      <c r="I285">
        <v>2023</v>
      </c>
      <c r="J285" s="38"/>
      <c r="K285" t="s">
        <v>125</v>
      </c>
      <c r="L285" t="s">
        <v>126</v>
      </c>
      <c r="M285" t="s">
        <v>378</v>
      </c>
      <c r="O285"/>
      <c r="P285" t="s">
        <v>83</v>
      </c>
      <c r="Q285" t="s">
        <v>379</v>
      </c>
      <c r="R285" t="s">
        <v>380</v>
      </c>
      <c r="U285" t="b">
        <v>1</v>
      </c>
      <c r="V285" t="b">
        <v>1</v>
      </c>
      <c r="W285" t="b">
        <v>1</v>
      </c>
      <c r="Y285" s="38"/>
      <c r="AS285"/>
    </row>
    <row r="286" spans="1:45" x14ac:dyDescent="0.3">
      <c r="A286">
        <v>286</v>
      </c>
      <c r="B286" t="s">
        <v>71</v>
      </c>
      <c r="E286" t="s">
        <v>677</v>
      </c>
      <c r="F286" t="s">
        <v>17</v>
      </c>
      <c r="G286" s="39">
        <v>44957.958333333336</v>
      </c>
      <c r="H286">
        <v>2</v>
      </c>
      <c r="I286">
        <v>2023</v>
      </c>
      <c r="J286" s="38"/>
      <c r="K286" t="s">
        <v>125</v>
      </c>
      <c r="L286" t="s">
        <v>126</v>
      </c>
      <c r="M286" t="s">
        <v>13</v>
      </c>
      <c r="O286"/>
      <c r="P286" t="s">
        <v>101</v>
      </c>
      <c r="Q286" t="s">
        <v>338</v>
      </c>
      <c r="R286" t="s">
        <v>132</v>
      </c>
      <c r="U286" t="b">
        <v>1</v>
      </c>
      <c r="V286" t="b">
        <v>1</v>
      </c>
      <c r="W286" t="b">
        <v>1</v>
      </c>
      <c r="Y286" s="38"/>
      <c r="AS286"/>
    </row>
    <row r="287" spans="1:45" x14ac:dyDescent="0.3">
      <c r="A287">
        <v>285</v>
      </c>
      <c r="B287" t="s">
        <v>71</v>
      </c>
      <c r="E287" t="s">
        <v>676</v>
      </c>
      <c r="F287" t="s">
        <v>17</v>
      </c>
      <c r="G287" s="39">
        <v>44958.958333333336</v>
      </c>
      <c r="H287">
        <v>2</v>
      </c>
      <c r="I287">
        <v>2023</v>
      </c>
      <c r="J287" s="38"/>
      <c r="K287" t="s">
        <v>110</v>
      </c>
      <c r="L287" t="s">
        <v>401</v>
      </c>
      <c r="M287" t="s">
        <v>424</v>
      </c>
      <c r="O287"/>
      <c r="P287" t="s">
        <v>83</v>
      </c>
      <c r="Q287" t="s">
        <v>425</v>
      </c>
      <c r="R287" t="s">
        <v>97</v>
      </c>
      <c r="U287" t="b">
        <v>1</v>
      </c>
      <c r="V287" t="b">
        <v>1</v>
      </c>
      <c r="W287" t="b">
        <v>1</v>
      </c>
      <c r="Y287" s="38"/>
      <c r="AS287"/>
    </row>
    <row r="288" spans="1:45" x14ac:dyDescent="0.3">
      <c r="A288">
        <v>284</v>
      </c>
      <c r="B288" t="s">
        <v>71</v>
      </c>
      <c r="E288" t="s">
        <v>675</v>
      </c>
      <c r="F288" t="s">
        <v>17</v>
      </c>
      <c r="G288" s="39">
        <v>44958.958333333336</v>
      </c>
      <c r="H288">
        <v>2</v>
      </c>
      <c r="I288">
        <v>2023</v>
      </c>
      <c r="J288" s="38"/>
      <c r="K288" t="s">
        <v>110</v>
      </c>
      <c r="L288" t="s">
        <v>401</v>
      </c>
      <c r="M288" t="s">
        <v>111</v>
      </c>
      <c r="O288"/>
      <c r="P288" t="s">
        <v>101</v>
      </c>
      <c r="Q288" t="s">
        <v>415</v>
      </c>
      <c r="R288" t="s">
        <v>416</v>
      </c>
      <c r="U288" t="b">
        <v>1</v>
      </c>
      <c r="V288" t="b">
        <v>1</v>
      </c>
      <c r="W288" t="b">
        <v>1</v>
      </c>
      <c r="Y288" s="38"/>
      <c r="AS288"/>
    </row>
    <row r="289" spans="1:45" x14ac:dyDescent="0.3">
      <c r="A289">
        <v>283</v>
      </c>
      <c r="B289" t="s">
        <v>71</v>
      </c>
      <c r="E289" t="s">
        <v>674</v>
      </c>
      <c r="F289" t="s">
        <v>17</v>
      </c>
      <c r="G289" s="39">
        <v>44958.958333333336</v>
      </c>
      <c r="H289">
        <v>2</v>
      </c>
      <c r="I289">
        <v>2023</v>
      </c>
      <c r="J289" s="38"/>
      <c r="K289" t="s">
        <v>110</v>
      </c>
      <c r="L289" t="s">
        <v>401</v>
      </c>
      <c r="M289" t="s">
        <v>112</v>
      </c>
      <c r="O289"/>
      <c r="P289" t="s">
        <v>83</v>
      </c>
      <c r="Q289" t="s">
        <v>402</v>
      </c>
      <c r="R289" t="s">
        <v>403</v>
      </c>
      <c r="U289" t="b">
        <v>1</v>
      </c>
      <c r="V289" t="b">
        <v>1</v>
      </c>
      <c r="W289" t="b">
        <v>1</v>
      </c>
      <c r="Y289" s="38"/>
      <c r="AS289"/>
    </row>
    <row r="290" spans="1:45" x14ac:dyDescent="0.3">
      <c r="A290">
        <v>282</v>
      </c>
      <c r="B290" t="s">
        <v>71</v>
      </c>
      <c r="E290" t="s">
        <v>673</v>
      </c>
      <c r="F290" t="s">
        <v>17</v>
      </c>
      <c r="G290" s="39">
        <v>44958.958333333336</v>
      </c>
      <c r="H290">
        <v>2</v>
      </c>
      <c r="I290">
        <v>2023</v>
      </c>
      <c r="J290" s="38"/>
      <c r="K290" t="s">
        <v>110</v>
      </c>
      <c r="L290" t="s">
        <v>401</v>
      </c>
      <c r="M290" t="s">
        <v>439</v>
      </c>
      <c r="O290"/>
      <c r="P290" t="s">
        <v>83</v>
      </c>
      <c r="Q290" t="s">
        <v>94</v>
      </c>
      <c r="R290" t="s">
        <v>87</v>
      </c>
      <c r="U290" t="b">
        <v>1</v>
      </c>
      <c r="V290" t="b">
        <v>1</v>
      </c>
      <c r="W290" t="b">
        <v>1</v>
      </c>
      <c r="Y290" s="38"/>
      <c r="AS290"/>
    </row>
    <row r="291" spans="1:45" x14ac:dyDescent="0.3">
      <c r="A291">
        <v>281</v>
      </c>
      <c r="B291" t="s">
        <v>71</v>
      </c>
      <c r="E291" t="s">
        <v>672</v>
      </c>
      <c r="F291" t="s">
        <v>17</v>
      </c>
      <c r="G291" s="39">
        <v>44952.958333333336</v>
      </c>
      <c r="H291">
        <v>1</v>
      </c>
      <c r="I291">
        <v>2023</v>
      </c>
      <c r="J291" s="38"/>
      <c r="K291" t="s">
        <v>127</v>
      </c>
      <c r="L291" t="s">
        <v>341</v>
      </c>
      <c r="M291" t="s">
        <v>13</v>
      </c>
      <c r="O291"/>
      <c r="P291" t="s">
        <v>342</v>
      </c>
      <c r="Q291" t="s">
        <v>145</v>
      </c>
      <c r="R291" t="s">
        <v>12</v>
      </c>
      <c r="U291" t="b">
        <v>1</v>
      </c>
      <c r="V291" t="b">
        <v>1</v>
      </c>
      <c r="W291" t="b">
        <v>1</v>
      </c>
      <c r="Y291" s="38"/>
      <c r="AS291"/>
    </row>
    <row r="292" spans="1:45" x14ac:dyDescent="0.3">
      <c r="A292">
        <v>280</v>
      </c>
      <c r="B292" t="s">
        <v>71</v>
      </c>
      <c r="E292" t="s">
        <v>671</v>
      </c>
      <c r="F292" t="s">
        <v>17</v>
      </c>
      <c r="G292" s="39">
        <v>44958.958333333336</v>
      </c>
      <c r="H292">
        <v>2</v>
      </c>
      <c r="I292">
        <v>2023</v>
      </c>
      <c r="J292" s="38"/>
      <c r="K292" t="s">
        <v>110</v>
      </c>
      <c r="L292" t="s">
        <v>401</v>
      </c>
      <c r="M292" t="s">
        <v>111</v>
      </c>
      <c r="O292"/>
      <c r="P292" t="s">
        <v>101</v>
      </c>
      <c r="Q292" t="s">
        <v>415</v>
      </c>
      <c r="R292" t="s">
        <v>416</v>
      </c>
      <c r="U292" t="b">
        <v>1</v>
      </c>
      <c r="V292" t="b">
        <v>1</v>
      </c>
      <c r="W292" t="b">
        <v>1</v>
      </c>
      <c r="Y292" s="38"/>
      <c r="AS292"/>
    </row>
    <row r="293" spans="1:45" x14ac:dyDescent="0.3">
      <c r="A293">
        <v>279</v>
      </c>
      <c r="B293" t="s">
        <v>71</v>
      </c>
      <c r="E293" t="s">
        <v>670</v>
      </c>
      <c r="F293" t="s">
        <v>17</v>
      </c>
      <c r="G293" s="39">
        <v>44958.958333333336</v>
      </c>
      <c r="H293">
        <v>2</v>
      </c>
      <c r="I293">
        <v>2023</v>
      </c>
      <c r="J293" s="38"/>
      <c r="K293" t="s">
        <v>102</v>
      </c>
      <c r="L293" t="s">
        <v>103</v>
      </c>
      <c r="M293" t="s">
        <v>104</v>
      </c>
      <c r="O293"/>
      <c r="P293" t="s">
        <v>83</v>
      </c>
      <c r="Q293" t="s">
        <v>105</v>
      </c>
      <c r="R293" t="s">
        <v>87</v>
      </c>
      <c r="U293" t="b">
        <v>1</v>
      </c>
      <c r="V293" t="b">
        <v>1</v>
      </c>
      <c r="W293" t="b">
        <v>1</v>
      </c>
      <c r="Y293" s="38"/>
      <c r="AS293"/>
    </row>
    <row r="294" spans="1:45" x14ac:dyDescent="0.3">
      <c r="A294">
        <v>278</v>
      </c>
      <c r="B294" t="s">
        <v>71</v>
      </c>
      <c r="E294" t="s">
        <v>669</v>
      </c>
      <c r="F294" t="s">
        <v>17</v>
      </c>
      <c r="G294" s="39">
        <v>44958.958333333336</v>
      </c>
      <c r="H294">
        <v>2</v>
      </c>
      <c r="I294">
        <v>2023</v>
      </c>
      <c r="J294" s="38"/>
      <c r="K294" t="s">
        <v>113</v>
      </c>
      <c r="L294" t="s">
        <v>114</v>
      </c>
      <c r="M294" t="s">
        <v>115</v>
      </c>
      <c r="O294"/>
      <c r="P294" t="s">
        <v>107</v>
      </c>
      <c r="Q294" t="s">
        <v>116</v>
      </c>
      <c r="R294" t="s">
        <v>117</v>
      </c>
      <c r="U294" t="b">
        <v>1</v>
      </c>
      <c r="V294" t="b">
        <v>1</v>
      </c>
      <c r="W294" t="b">
        <v>1</v>
      </c>
      <c r="Y294" s="38"/>
      <c r="AS294"/>
    </row>
    <row r="295" spans="1:45" x14ac:dyDescent="0.3">
      <c r="A295">
        <v>277</v>
      </c>
      <c r="B295" t="s">
        <v>71</v>
      </c>
      <c r="E295" t="s">
        <v>668</v>
      </c>
      <c r="F295" t="s">
        <v>17</v>
      </c>
      <c r="G295" s="39">
        <v>44967.958333333336</v>
      </c>
      <c r="H295">
        <v>2</v>
      </c>
      <c r="I295">
        <v>2023</v>
      </c>
      <c r="J295" s="38"/>
      <c r="K295" t="s">
        <v>133</v>
      </c>
      <c r="L295" t="s">
        <v>134</v>
      </c>
      <c r="M295" t="s">
        <v>123</v>
      </c>
      <c r="O295"/>
      <c r="P295" t="s">
        <v>34</v>
      </c>
      <c r="Q295" t="s">
        <v>135</v>
      </c>
      <c r="R295" t="s">
        <v>7</v>
      </c>
      <c r="U295" t="b">
        <v>1</v>
      </c>
      <c r="V295" t="b">
        <v>1</v>
      </c>
      <c r="W295" t="b">
        <v>1</v>
      </c>
      <c r="Y295" s="38"/>
      <c r="AS295"/>
    </row>
    <row r="296" spans="1:45" x14ac:dyDescent="0.3">
      <c r="A296">
        <v>276</v>
      </c>
      <c r="B296" t="s">
        <v>71</v>
      </c>
      <c r="E296" t="s">
        <v>667</v>
      </c>
      <c r="F296" t="s">
        <v>17</v>
      </c>
      <c r="G296" s="39">
        <v>44967.958333333336</v>
      </c>
      <c r="H296">
        <v>2</v>
      </c>
      <c r="I296">
        <v>2023</v>
      </c>
      <c r="J296" s="38"/>
      <c r="K296" t="s">
        <v>121</v>
      </c>
      <c r="L296" t="s">
        <v>122</v>
      </c>
      <c r="M296" t="s">
        <v>123</v>
      </c>
      <c r="O296"/>
      <c r="P296" t="s">
        <v>101</v>
      </c>
      <c r="Q296" t="s">
        <v>409</v>
      </c>
      <c r="R296" t="s">
        <v>124</v>
      </c>
      <c r="U296" t="b">
        <v>1</v>
      </c>
      <c r="V296" t="b">
        <v>1</v>
      </c>
      <c r="W296" t="b">
        <v>1</v>
      </c>
      <c r="Y296" s="38"/>
      <c r="AS296"/>
    </row>
    <row r="297" spans="1:45" x14ac:dyDescent="0.3">
      <c r="A297">
        <v>275</v>
      </c>
      <c r="B297" t="s">
        <v>71</v>
      </c>
      <c r="E297" t="s">
        <v>666</v>
      </c>
      <c r="F297" t="s">
        <v>17</v>
      </c>
      <c r="G297" s="39">
        <v>44967.958333333336</v>
      </c>
      <c r="H297">
        <v>2</v>
      </c>
      <c r="I297">
        <v>2023</v>
      </c>
      <c r="J297" s="38"/>
      <c r="K297" t="s">
        <v>127</v>
      </c>
      <c r="L297" t="s">
        <v>341</v>
      </c>
      <c r="M297" t="s">
        <v>14</v>
      </c>
      <c r="O297"/>
      <c r="P297" t="s">
        <v>34</v>
      </c>
      <c r="Q297" t="s">
        <v>135</v>
      </c>
      <c r="R297" t="s">
        <v>7</v>
      </c>
      <c r="U297" t="b">
        <v>1</v>
      </c>
      <c r="V297" t="b">
        <v>1</v>
      </c>
      <c r="W297" t="b">
        <v>1</v>
      </c>
      <c r="Y297" s="38"/>
      <c r="AS297"/>
    </row>
    <row r="298" spans="1:45" x14ac:dyDescent="0.3">
      <c r="A298">
        <v>274</v>
      </c>
      <c r="B298" t="s">
        <v>71</v>
      </c>
      <c r="E298" t="s">
        <v>665</v>
      </c>
      <c r="F298" t="s">
        <v>17</v>
      </c>
      <c r="G298" s="39">
        <v>44967.958333333336</v>
      </c>
      <c r="H298">
        <v>2</v>
      </c>
      <c r="I298">
        <v>2023</v>
      </c>
      <c r="J298" s="38"/>
      <c r="K298" t="s">
        <v>127</v>
      </c>
      <c r="L298" t="s">
        <v>341</v>
      </c>
      <c r="M298" t="s">
        <v>123</v>
      </c>
      <c r="O298"/>
      <c r="P298" t="s">
        <v>333</v>
      </c>
      <c r="Q298" t="s">
        <v>520</v>
      </c>
      <c r="R298" t="s">
        <v>12</v>
      </c>
      <c r="U298" t="b">
        <v>1</v>
      </c>
      <c r="V298" t="b">
        <v>1</v>
      </c>
      <c r="W298" t="b">
        <v>1</v>
      </c>
      <c r="Y298" s="38"/>
      <c r="AS298"/>
    </row>
    <row r="299" spans="1:45" x14ac:dyDescent="0.3">
      <c r="A299">
        <v>273</v>
      </c>
      <c r="B299" t="s">
        <v>71</v>
      </c>
      <c r="E299" t="s">
        <v>664</v>
      </c>
      <c r="F299" t="s">
        <v>17</v>
      </c>
      <c r="G299" s="39">
        <v>44968.958333333336</v>
      </c>
      <c r="H299">
        <v>2</v>
      </c>
      <c r="I299">
        <v>2023</v>
      </c>
      <c r="J299" s="38"/>
      <c r="K299" t="s">
        <v>127</v>
      </c>
      <c r="L299" t="s">
        <v>341</v>
      </c>
      <c r="M299" t="s">
        <v>128</v>
      </c>
      <c r="O299"/>
      <c r="P299" t="s">
        <v>342</v>
      </c>
      <c r="Q299" t="s">
        <v>129</v>
      </c>
      <c r="R299" t="s">
        <v>12</v>
      </c>
      <c r="U299" t="b">
        <v>1</v>
      </c>
      <c r="V299" t="b">
        <v>1</v>
      </c>
      <c r="W299" t="b">
        <v>1</v>
      </c>
      <c r="Y299" s="38"/>
      <c r="AS299"/>
    </row>
    <row r="300" spans="1:45" x14ac:dyDescent="0.3">
      <c r="A300">
        <v>272</v>
      </c>
      <c r="B300" t="s">
        <v>71</v>
      </c>
      <c r="E300" t="s">
        <v>663</v>
      </c>
      <c r="F300" t="s">
        <v>17</v>
      </c>
      <c r="G300" s="39">
        <v>44969.958333333336</v>
      </c>
      <c r="H300">
        <v>2</v>
      </c>
      <c r="I300">
        <v>2023</v>
      </c>
      <c r="J300" s="38"/>
      <c r="K300" t="s">
        <v>82</v>
      </c>
      <c r="L300" t="s">
        <v>350</v>
      </c>
      <c r="M300" t="s">
        <v>469</v>
      </c>
      <c r="O300"/>
      <c r="P300" t="s">
        <v>138</v>
      </c>
      <c r="Q300" t="s">
        <v>470</v>
      </c>
      <c r="R300" t="s">
        <v>31</v>
      </c>
      <c r="U300" t="b">
        <v>1</v>
      </c>
      <c r="V300" t="b">
        <v>1</v>
      </c>
      <c r="W300" t="b">
        <v>1</v>
      </c>
      <c r="Y300" s="38"/>
      <c r="AS300"/>
    </row>
    <row r="301" spans="1:45" x14ac:dyDescent="0.3">
      <c r="A301">
        <v>271</v>
      </c>
      <c r="B301" t="s">
        <v>71</v>
      </c>
      <c r="E301" t="s">
        <v>662</v>
      </c>
      <c r="F301" t="s">
        <v>17</v>
      </c>
      <c r="G301" s="39">
        <v>44969.958333333336</v>
      </c>
      <c r="H301">
        <v>2</v>
      </c>
      <c r="I301">
        <v>2023</v>
      </c>
      <c r="J301" s="38"/>
      <c r="K301" t="s">
        <v>14</v>
      </c>
      <c r="L301" t="s">
        <v>99</v>
      </c>
      <c r="M301" t="s">
        <v>112</v>
      </c>
      <c r="O301"/>
      <c r="P301" t="s">
        <v>34</v>
      </c>
      <c r="Q301" t="s">
        <v>135</v>
      </c>
      <c r="R301" t="s">
        <v>31</v>
      </c>
      <c r="U301" t="b">
        <v>1</v>
      </c>
      <c r="V301" t="b">
        <v>1</v>
      </c>
      <c r="W301" t="b">
        <v>1</v>
      </c>
      <c r="Y301" s="38"/>
      <c r="AS301"/>
    </row>
    <row r="302" spans="1:45" x14ac:dyDescent="0.3">
      <c r="A302">
        <v>270</v>
      </c>
      <c r="B302" t="s">
        <v>71</v>
      </c>
      <c r="E302" t="s">
        <v>661</v>
      </c>
      <c r="F302" t="s">
        <v>17</v>
      </c>
      <c r="G302" s="39">
        <v>44970.958333333336</v>
      </c>
      <c r="H302">
        <v>2</v>
      </c>
      <c r="I302">
        <v>2023</v>
      </c>
      <c r="J302" s="38"/>
      <c r="K302" t="s">
        <v>133</v>
      </c>
      <c r="L302" t="s">
        <v>134</v>
      </c>
      <c r="M302" t="s">
        <v>14</v>
      </c>
      <c r="O302"/>
      <c r="P302" t="s">
        <v>333</v>
      </c>
      <c r="Q302" t="s">
        <v>335</v>
      </c>
      <c r="R302" t="s">
        <v>336</v>
      </c>
      <c r="U302" t="b">
        <v>1</v>
      </c>
      <c r="V302" t="b">
        <v>1</v>
      </c>
      <c r="W302" t="b">
        <v>1</v>
      </c>
      <c r="Y302" s="38"/>
      <c r="AS302"/>
    </row>
    <row r="303" spans="1:45" x14ac:dyDescent="0.3">
      <c r="A303">
        <v>269</v>
      </c>
      <c r="B303" t="s">
        <v>71</v>
      </c>
      <c r="E303" t="s">
        <v>660</v>
      </c>
      <c r="F303" t="s">
        <v>17</v>
      </c>
      <c r="G303" s="39">
        <v>44967.958333333336</v>
      </c>
      <c r="H303">
        <v>2</v>
      </c>
      <c r="I303">
        <v>2023</v>
      </c>
      <c r="J303" s="38"/>
      <c r="K303" t="s">
        <v>146</v>
      </c>
      <c r="L303" t="s">
        <v>575</v>
      </c>
      <c r="M303" t="s">
        <v>14</v>
      </c>
      <c r="O303"/>
      <c r="P303" t="s">
        <v>342</v>
      </c>
      <c r="Q303" t="s">
        <v>577</v>
      </c>
      <c r="R303" t="s">
        <v>12</v>
      </c>
      <c r="U303" t="b">
        <v>1</v>
      </c>
      <c r="V303" t="b">
        <v>1</v>
      </c>
      <c r="W303" t="b">
        <v>1</v>
      </c>
      <c r="Y303" s="38"/>
      <c r="AS303"/>
    </row>
    <row r="304" spans="1:45" x14ac:dyDescent="0.3">
      <c r="A304">
        <v>268</v>
      </c>
      <c r="B304" t="s">
        <v>71</v>
      </c>
      <c r="E304" t="s">
        <v>659</v>
      </c>
      <c r="F304" t="s">
        <v>17</v>
      </c>
      <c r="G304" s="39">
        <v>44981.958333333336</v>
      </c>
      <c r="H304">
        <v>2</v>
      </c>
      <c r="I304">
        <v>2023</v>
      </c>
      <c r="J304" s="38"/>
      <c r="K304" t="s">
        <v>14</v>
      </c>
      <c r="L304" t="s">
        <v>99</v>
      </c>
      <c r="M304" t="s">
        <v>147</v>
      </c>
      <c r="O304"/>
      <c r="P304" t="s">
        <v>83</v>
      </c>
      <c r="Q304" t="s">
        <v>421</v>
      </c>
      <c r="R304" t="s">
        <v>422</v>
      </c>
      <c r="U304" t="b">
        <v>1</v>
      </c>
      <c r="V304" t="b">
        <v>1</v>
      </c>
      <c r="W304" t="b">
        <v>1</v>
      </c>
      <c r="Y304" s="38"/>
      <c r="AS304"/>
    </row>
    <row r="305" spans="1:45" x14ac:dyDescent="0.3">
      <c r="A305">
        <v>267</v>
      </c>
      <c r="B305" t="s">
        <v>71</v>
      </c>
      <c r="E305" t="s">
        <v>658</v>
      </c>
      <c r="F305" t="s">
        <v>17</v>
      </c>
      <c r="G305" s="39">
        <v>44982.958333333336</v>
      </c>
      <c r="H305">
        <v>2</v>
      </c>
      <c r="I305">
        <v>2023</v>
      </c>
      <c r="J305" s="38"/>
      <c r="K305" t="s">
        <v>14</v>
      </c>
      <c r="L305" t="s">
        <v>99</v>
      </c>
      <c r="M305" t="s">
        <v>100</v>
      </c>
      <c r="O305"/>
      <c r="P305" t="s">
        <v>101</v>
      </c>
      <c r="Q305" t="s">
        <v>500</v>
      </c>
      <c r="R305" t="s">
        <v>501</v>
      </c>
      <c r="U305" t="b">
        <v>1</v>
      </c>
      <c r="V305" t="b">
        <v>1</v>
      </c>
      <c r="W305" t="b">
        <v>1</v>
      </c>
      <c r="Y305" s="38"/>
      <c r="AS305"/>
    </row>
    <row r="306" spans="1:45" x14ac:dyDescent="0.3">
      <c r="A306">
        <v>266</v>
      </c>
      <c r="B306" t="s">
        <v>71</v>
      </c>
      <c r="E306" t="s">
        <v>657</v>
      </c>
      <c r="F306" t="s">
        <v>17</v>
      </c>
      <c r="G306" s="39">
        <v>44982.958333333336</v>
      </c>
      <c r="H306">
        <v>2</v>
      </c>
      <c r="I306">
        <v>2023</v>
      </c>
      <c r="J306" s="38"/>
      <c r="K306" t="s">
        <v>32</v>
      </c>
      <c r="L306" t="s">
        <v>480</v>
      </c>
      <c r="M306" t="s">
        <v>136</v>
      </c>
      <c r="O306"/>
      <c r="P306" t="s">
        <v>83</v>
      </c>
      <c r="Q306" t="s">
        <v>481</v>
      </c>
      <c r="R306" t="s">
        <v>482</v>
      </c>
      <c r="U306" t="b">
        <v>1</v>
      </c>
      <c r="V306" t="b">
        <v>1</v>
      </c>
      <c r="W306" t="b">
        <v>1</v>
      </c>
      <c r="Y306" s="38"/>
      <c r="AS306"/>
    </row>
    <row r="307" spans="1:45" x14ac:dyDescent="0.3">
      <c r="A307">
        <v>265</v>
      </c>
      <c r="B307" t="s">
        <v>71</v>
      </c>
      <c r="E307" t="s">
        <v>656</v>
      </c>
      <c r="F307" t="s">
        <v>17</v>
      </c>
      <c r="G307" s="39">
        <v>44982.958333333336</v>
      </c>
      <c r="H307">
        <v>2</v>
      </c>
      <c r="I307">
        <v>2023</v>
      </c>
      <c r="J307" s="38"/>
      <c r="K307" t="s">
        <v>33</v>
      </c>
      <c r="L307" t="s">
        <v>487</v>
      </c>
      <c r="M307" t="s">
        <v>88</v>
      </c>
      <c r="O307"/>
      <c r="P307" t="s">
        <v>83</v>
      </c>
      <c r="Q307" t="s">
        <v>481</v>
      </c>
      <c r="R307" t="s">
        <v>482</v>
      </c>
      <c r="U307" t="b">
        <v>1</v>
      </c>
      <c r="V307" t="b">
        <v>1</v>
      </c>
      <c r="W307" t="b">
        <v>1</v>
      </c>
      <c r="Y307" s="38"/>
      <c r="AS307"/>
    </row>
    <row r="308" spans="1:45" x14ac:dyDescent="0.3">
      <c r="A308">
        <v>264</v>
      </c>
      <c r="B308" t="s">
        <v>71</v>
      </c>
      <c r="E308" t="s">
        <v>655</v>
      </c>
      <c r="F308" t="s">
        <v>17</v>
      </c>
      <c r="G308" s="39">
        <v>44982.958333333336</v>
      </c>
      <c r="H308">
        <v>2</v>
      </c>
      <c r="I308">
        <v>2023</v>
      </c>
      <c r="J308" s="38"/>
      <c r="K308" t="s">
        <v>14</v>
      </c>
      <c r="L308" t="s">
        <v>99</v>
      </c>
      <c r="M308" t="s">
        <v>14</v>
      </c>
      <c r="O308"/>
      <c r="P308" t="s">
        <v>83</v>
      </c>
      <c r="Q308" t="s">
        <v>493</v>
      </c>
      <c r="R308" t="s">
        <v>494</v>
      </c>
      <c r="U308" t="b">
        <v>1</v>
      </c>
      <c r="V308" t="b">
        <v>1</v>
      </c>
      <c r="W308" t="b">
        <v>1</v>
      </c>
      <c r="Y308" s="38"/>
      <c r="AS308"/>
    </row>
    <row r="309" spans="1:45" x14ac:dyDescent="0.3">
      <c r="A309">
        <v>263</v>
      </c>
      <c r="B309" t="s">
        <v>71</v>
      </c>
      <c r="E309" t="s">
        <v>654</v>
      </c>
      <c r="F309" t="s">
        <v>17</v>
      </c>
      <c r="G309" s="39">
        <v>44986.958333333336</v>
      </c>
      <c r="H309">
        <v>3</v>
      </c>
      <c r="I309">
        <v>2023</v>
      </c>
      <c r="J309" s="38"/>
      <c r="K309" t="s">
        <v>125</v>
      </c>
      <c r="L309" t="s">
        <v>126</v>
      </c>
      <c r="M309" t="s">
        <v>13</v>
      </c>
      <c r="O309"/>
      <c r="P309" t="s">
        <v>34</v>
      </c>
      <c r="Q309" t="s">
        <v>338</v>
      </c>
      <c r="R309" t="s">
        <v>132</v>
      </c>
      <c r="U309" t="b">
        <v>1</v>
      </c>
      <c r="V309" t="b">
        <v>1</v>
      </c>
      <c r="W309" t="b">
        <v>1</v>
      </c>
      <c r="Y309" s="38"/>
      <c r="AS309"/>
    </row>
    <row r="310" spans="1:45" x14ac:dyDescent="0.3">
      <c r="A310">
        <v>262</v>
      </c>
      <c r="B310" t="s">
        <v>71</v>
      </c>
      <c r="E310" t="s">
        <v>653</v>
      </c>
      <c r="F310" t="s">
        <v>17</v>
      </c>
      <c r="G310" s="39">
        <v>44985.958333333336</v>
      </c>
      <c r="H310">
        <v>3</v>
      </c>
      <c r="I310">
        <v>2023</v>
      </c>
      <c r="J310" s="38"/>
      <c r="K310" t="s">
        <v>125</v>
      </c>
      <c r="L310" t="s">
        <v>126</v>
      </c>
      <c r="M310" t="s">
        <v>378</v>
      </c>
      <c r="O310"/>
      <c r="P310" t="s">
        <v>34</v>
      </c>
      <c r="Q310" t="s">
        <v>379</v>
      </c>
      <c r="R310" t="s">
        <v>380</v>
      </c>
      <c r="U310" t="b">
        <v>1</v>
      </c>
      <c r="V310" t="b">
        <v>1</v>
      </c>
      <c r="W310" t="b">
        <v>1</v>
      </c>
      <c r="Y310" s="38"/>
      <c r="AS310"/>
    </row>
    <row r="311" spans="1:45" x14ac:dyDescent="0.3">
      <c r="A311">
        <v>261</v>
      </c>
      <c r="B311" t="s">
        <v>71</v>
      </c>
      <c r="E311" t="s">
        <v>652</v>
      </c>
      <c r="F311" t="s">
        <v>17</v>
      </c>
      <c r="G311" s="39">
        <v>44985.958333333336</v>
      </c>
      <c r="H311">
        <v>3</v>
      </c>
      <c r="I311">
        <v>2023</v>
      </c>
      <c r="J311" s="38"/>
      <c r="K311" t="s">
        <v>125</v>
      </c>
      <c r="L311" t="s">
        <v>126</v>
      </c>
      <c r="M311" t="s">
        <v>648</v>
      </c>
      <c r="O311"/>
      <c r="P311" t="s">
        <v>83</v>
      </c>
      <c r="Q311" t="s">
        <v>649</v>
      </c>
      <c r="R311" t="s">
        <v>650</v>
      </c>
      <c r="U311" t="b">
        <v>1</v>
      </c>
      <c r="V311" t="b">
        <v>1</v>
      </c>
      <c r="W311" t="b">
        <v>1</v>
      </c>
      <c r="Y311" s="38"/>
      <c r="AS311"/>
    </row>
    <row r="312" spans="1:45" x14ac:dyDescent="0.3">
      <c r="A312">
        <v>260</v>
      </c>
      <c r="B312" t="s">
        <v>71</v>
      </c>
      <c r="E312" t="s">
        <v>651</v>
      </c>
      <c r="F312" t="s">
        <v>17</v>
      </c>
      <c r="G312" s="39">
        <v>44985.958333333336</v>
      </c>
      <c r="H312">
        <v>3</v>
      </c>
      <c r="I312">
        <v>2023</v>
      </c>
      <c r="J312" s="38"/>
      <c r="K312" t="s">
        <v>125</v>
      </c>
      <c r="L312" t="s">
        <v>126</v>
      </c>
      <c r="M312" t="s">
        <v>355</v>
      </c>
      <c r="O312"/>
      <c r="P312" t="s">
        <v>34</v>
      </c>
      <c r="Q312" t="s">
        <v>356</v>
      </c>
      <c r="R312" t="s">
        <v>12</v>
      </c>
      <c r="U312" t="b">
        <v>1</v>
      </c>
      <c r="V312" t="b">
        <v>1</v>
      </c>
      <c r="W312" t="b">
        <v>1</v>
      </c>
      <c r="Y312" s="38"/>
      <c r="AS312"/>
    </row>
    <row r="313" spans="1:45" x14ac:dyDescent="0.3">
      <c r="A313">
        <v>259</v>
      </c>
      <c r="B313" t="s">
        <v>71</v>
      </c>
      <c r="E313" t="s">
        <v>647</v>
      </c>
      <c r="F313" t="s">
        <v>17</v>
      </c>
      <c r="G313" s="39">
        <v>44985.958333333336</v>
      </c>
      <c r="H313">
        <v>3</v>
      </c>
      <c r="I313">
        <v>2023</v>
      </c>
      <c r="J313" s="38"/>
      <c r="K313" t="s">
        <v>125</v>
      </c>
      <c r="L313" t="s">
        <v>126</v>
      </c>
      <c r="M313" t="s">
        <v>648</v>
      </c>
      <c r="O313"/>
      <c r="P313" t="s">
        <v>34</v>
      </c>
      <c r="Q313" t="s">
        <v>649</v>
      </c>
      <c r="R313" t="s">
        <v>650</v>
      </c>
      <c r="U313" t="b">
        <v>1</v>
      </c>
      <c r="V313" t="b">
        <v>1</v>
      </c>
      <c r="W313" t="b">
        <v>1</v>
      </c>
      <c r="Y313" s="38"/>
      <c r="AS313"/>
    </row>
    <row r="314" spans="1:45" x14ac:dyDescent="0.3">
      <c r="A314">
        <v>258</v>
      </c>
      <c r="B314" t="s">
        <v>71</v>
      </c>
      <c r="E314" t="s">
        <v>646</v>
      </c>
      <c r="F314" t="s">
        <v>17</v>
      </c>
      <c r="G314" s="39">
        <v>44985.958333333336</v>
      </c>
      <c r="H314">
        <v>3</v>
      </c>
      <c r="I314">
        <v>2023</v>
      </c>
      <c r="J314" s="38"/>
      <c r="K314" t="s">
        <v>110</v>
      </c>
      <c r="L314" t="s">
        <v>401</v>
      </c>
      <c r="M314" t="s">
        <v>111</v>
      </c>
      <c r="O314"/>
      <c r="P314" t="s">
        <v>101</v>
      </c>
      <c r="Q314" t="s">
        <v>415</v>
      </c>
      <c r="R314" t="s">
        <v>416</v>
      </c>
      <c r="U314" t="b">
        <v>1</v>
      </c>
      <c r="V314" t="b">
        <v>1</v>
      </c>
      <c r="W314" t="b">
        <v>1</v>
      </c>
      <c r="Y314" s="38"/>
      <c r="AS314"/>
    </row>
    <row r="315" spans="1:45" x14ac:dyDescent="0.3">
      <c r="A315">
        <v>257</v>
      </c>
      <c r="B315" t="s">
        <v>71</v>
      </c>
      <c r="E315" t="s">
        <v>645</v>
      </c>
      <c r="F315" t="s">
        <v>17</v>
      </c>
      <c r="G315" s="39">
        <v>44986.958333333336</v>
      </c>
      <c r="H315">
        <v>3</v>
      </c>
      <c r="I315">
        <v>2023</v>
      </c>
      <c r="J315" s="38"/>
      <c r="K315" t="s">
        <v>110</v>
      </c>
      <c r="L315" t="s">
        <v>401</v>
      </c>
      <c r="M315" t="s">
        <v>424</v>
      </c>
      <c r="O315"/>
      <c r="P315" t="s">
        <v>83</v>
      </c>
      <c r="Q315" t="s">
        <v>425</v>
      </c>
      <c r="R315" t="s">
        <v>97</v>
      </c>
      <c r="U315" t="b">
        <v>1</v>
      </c>
      <c r="V315" t="b">
        <v>1</v>
      </c>
      <c r="W315" t="b">
        <v>1</v>
      </c>
      <c r="Y315" s="38"/>
      <c r="AS315"/>
    </row>
    <row r="316" spans="1:45" x14ac:dyDescent="0.3">
      <c r="A316">
        <v>256</v>
      </c>
      <c r="B316" t="s">
        <v>71</v>
      </c>
      <c r="E316" t="s">
        <v>644</v>
      </c>
      <c r="F316" t="s">
        <v>17</v>
      </c>
      <c r="G316" s="39">
        <v>44986.958333333336</v>
      </c>
      <c r="H316">
        <v>3</v>
      </c>
      <c r="I316">
        <v>2023</v>
      </c>
      <c r="J316" s="38"/>
      <c r="K316" t="s">
        <v>110</v>
      </c>
      <c r="L316" t="s">
        <v>401</v>
      </c>
      <c r="M316" t="s">
        <v>112</v>
      </c>
      <c r="O316"/>
      <c r="P316" t="s">
        <v>83</v>
      </c>
      <c r="Q316" t="s">
        <v>402</v>
      </c>
      <c r="R316" t="s">
        <v>403</v>
      </c>
      <c r="U316" t="b">
        <v>1</v>
      </c>
      <c r="V316" t="b">
        <v>1</v>
      </c>
      <c r="W316" t="b">
        <v>1</v>
      </c>
      <c r="Y316" s="38"/>
      <c r="AS316"/>
    </row>
    <row r="317" spans="1:45" x14ac:dyDescent="0.3">
      <c r="A317">
        <v>255</v>
      </c>
      <c r="B317" t="s">
        <v>71</v>
      </c>
      <c r="E317" t="s">
        <v>643</v>
      </c>
      <c r="F317" t="s">
        <v>17</v>
      </c>
      <c r="G317" s="39">
        <v>44986.958333333336</v>
      </c>
      <c r="H317">
        <v>3</v>
      </c>
      <c r="I317">
        <v>2023</v>
      </c>
      <c r="J317" s="38"/>
      <c r="K317" t="s">
        <v>14</v>
      </c>
      <c r="L317" t="s">
        <v>99</v>
      </c>
      <c r="M317" t="s">
        <v>100</v>
      </c>
      <c r="O317"/>
      <c r="P317" t="s">
        <v>101</v>
      </c>
      <c r="Q317" t="s">
        <v>500</v>
      </c>
      <c r="R317" t="s">
        <v>501</v>
      </c>
      <c r="U317" t="b">
        <v>1</v>
      </c>
      <c r="V317" t="b">
        <v>1</v>
      </c>
      <c r="W317" t="b">
        <v>1</v>
      </c>
      <c r="Y317" s="38"/>
      <c r="AS317"/>
    </row>
    <row r="318" spans="1:45" x14ac:dyDescent="0.3">
      <c r="A318">
        <v>254</v>
      </c>
      <c r="B318" t="s">
        <v>71</v>
      </c>
      <c r="E318" t="s">
        <v>642</v>
      </c>
      <c r="F318" t="s">
        <v>17</v>
      </c>
      <c r="G318" s="39">
        <v>44985.958333333336</v>
      </c>
      <c r="H318">
        <v>3</v>
      </c>
      <c r="I318">
        <v>2023</v>
      </c>
      <c r="J318" s="38"/>
      <c r="K318" t="s">
        <v>125</v>
      </c>
      <c r="L318" t="s">
        <v>126</v>
      </c>
      <c r="M318" t="s">
        <v>378</v>
      </c>
      <c r="O318"/>
      <c r="P318" t="s">
        <v>83</v>
      </c>
      <c r="Q318" t="s">
        <v>379</v>
      </c>
      <c r="R318" t="s">
        <v>380</v>
      </c>
      <c r="U318" t="b">
        <v>1</v>
      </c>
      <c r="V318" t="b">
        <v>1</v>
      </c>
      <c r="W318" t="b">
        <v>1</v>
      </c>
      <c r="Y318" s="38"/>
      <c r="AS318"/>
    </row>
    <row r="319" spans="1:45" x14ac:dyDescent="0.3">
      <c r="A319">
        <v>253</v>
      </c>
      <c r="B319" t="s">
        <v>71</v>
      </c>
      <c r="E319" t="s">
        <v>641</v>
      </c>
      <c r="F319" t="s">
        <v>17</v>
      </c>
      <c r="G319" s="39">
        <v>44987.958333333336</v>
      </c>
      <c r="H319">
        <v>3</v>
      </c>
      <c r="I319">
        <v>2023</v>
      </c>
      <c r="J319" s="38"/>
      <c r="K319" t="s">
        <v>113</v>
      </c>
      <c r="L319" t="s">
        <v>114</v>
      </c>
      <c r="M319" t="s">
        <v>115</v>
      </c>
      <c r="O319"/>
      <c r="P319" t="s">
        <v>107</v>
      </c>
      <c r="Q319" t="s">
        <v>116</v>
      </c>
      <c r="R319" t="s">
        <v>117</v>
      </c>
      <c r="U319" t="b">
        <v>1</v>
      </c>
      <c r="V319" t="b">
        <v>1</v>
      </c>
      <c r="W319" t="b">
        <v>1</v>
      </c>
      <c r="Y319" s="38"/>
      <c r="AS319"/>
    </row>
    <row r="320" spans="1:45" x14ac:dyDescent="0.3">
      <c r="A320">
        <v>252</v>
      </c>
      <c r="B320" t="s">
        <v>71</v>
      </c>
      <c r="E320" t="s">
        <v>640</v>
      </c>
      <c r="F320" t="s">
        <v>17</v>
      </c>
      <c r="G320" s="39">
        <v>44987.958333333336</v>
      </c>
      <c r="H320">
        <v>3</v>
      </c>
      <c r="I320">
        <v>2023</v>
      </c>
      <c r="J320" s="38"/>
      <c r="K320" t="s">
        <v>125</v>
      </c>
      <c r="L320" t="s">
        <v>126</v>
      </c>
      <c r="M320" t="s">
        <v>13</v>
      </c>
      <c r="O320"/>
      <c r="P320" t="s">
        <v>101</v>
      </c>
      <c r="Q320" t="s">
        <v>338</v>
      </c>
      <c r="R320" t="s">
        <v>132</v>
      </c>
      <c r="U320" t="b">
        <v>1</v>
      </c>
      <c r="V320" t="b">
        <v>1</v>
      </c>
      <c r="W320" t="b">
        <v>1</v>
      </c>
      <c r="Y320" s="38"/>
      <c r="AS320"/>
    </row>
    <row r="321" spans="1:45" x14ac:dyDescent="0.3">
      <c r="A321">
        <v>251</v>
      </c>
      <c r="B321" t="s">
        <v>71</v>
      </c>
      <c r="E321" t="s">
        <v>639</v>
      </c>
      <c r="F321" t="s">
        <v>17</v>
      </c>
      <c r="G321" s="39">
        <v>44988.958333333336</v>
      </c>
      <c r="H321">
        <v>3</v>
      </c>
      <c r="I321">
        <v>2023</v>
      </c>
      <c r="J321" s="38"/>
      <c r="K321" t="s">
        <v>133</v>
      </c>
      <c r="L321" t="s">
        <v>134</v>
      </c>
      <c r="M321" t="s">
        <v>123</v>
      </c>
      <c r="O321"/>
      <c r="P321" t="s">
        <v>34</v>
      </c>
      <c r="Q321" t="s">
        <v>135</v>
      </c>
      <c r="R321" t="s">
        <v>7</v>
      </c>
      <c r="U321" t="b">
        <v>1</v>
      </c>
      <c r="V321" t="b">
        <v>1</v>
      </c>
      <c r="W321" t="b">
        <v>1</v>
      </c>
      <c r="Y321" s="38"/>
      <c r="AS321"/>
    </row>
    <row r="322" spans="1:45" x14ac:dyDescent="0.3">
      <c r="A322">
        <v>250</v>
      </c>
      <c r="B322" t="s">
        <v>71</v>
      </c>
      <c r="E322" t="s">
        <v>638</v>
      </c>
      <c r="F322" t="s">
        <v>17</v>
      </c>
      <c r="G322" s="39">
        <v>44988.958333333336</v>
      </c>
      <c r="H322">
        <v>3</v>
      </c>
      <c r="I322">
        <v>2023</v>
      </c>
      <c r="J322" s="38"/>
      <c r="K322" t="s">
        <v>32</v>
      </c>
      <c r="L322" t="s">
        <v>480</v>
      </c>
      <c r="M322" t="s">
        <v>136</v>
      </c>
      <c r="O322"/>
      <c r="P322" t="s">
        <v>83</v>
      </c>
      <c r="Q322" t="s">
        <v>481</v>
      </c>
      <c r="R322" t="s">
        <v>482</v>
      </c>
      <c r="U322" t="b">
        <v>1</v>
      </c>
      <c r="V322" t="b">
        <v>1</v>
      </c>
      <c r="W322" t="b">
        <v>1</v>
      </c>
      <c r="Y322" s="38"/>
      <c r="AS322"/>
    </row>
    <row r="323" spans="1:45" x14ac:dyDescent="0.3">
      <c r="A323">
        <v>249</v>
      </c>
      <c r="B323" t="s">
        <v>71</v>
      </c>
      <c r="E323" t="s">
        <v>637</v>
      </c>
      <c r="F323" t="s">
        <v>17</v>
      </c>
      <c r="G323" s="39">
        <v>44989.958333333336</v>
      </c>
      <c r="H323">
        <v>3</v>
      </c>
      <c r="I323">
        <v>2023</v>
      </c>
      <c r="J323" s="38"/>
      <c r="K323" t="s">
        <v>102</v>
      </c>
      <c r="L323" t="s">
        <v>103</v>
      </c>
      <c r="M323" t="s">
        <v>130</v>
      </c>
      <c r="O323"/>
      <c r="P323" t="s">
        <v>101</v>
      </c>
      <c r="Q323" t="s">
        <v>131</v>
      </c>
      <c r="R323" t="s">
        <v>124</v>
      </c>
      <c r="U323" t="b">
        <v>1</v>
      </c>
      <c r="V323" t="b">
        <v>1</v>
      </c>
      <c r="W323" t="b">
        <v>1</v>
      </c>
      <c r="Y323" s="38"/>
      <c r="AS323"/>
    </row>
    <row r="324" spans="1:45" x14ac:dyDescent="0.3">
      <c r="A324">
        <v>248</v>
      </c>
      <c r="B324" t="s">
        <v>71</v>
      </c>
      <c r="E324" t="s">
        <v>636</v>
      </c>
      <c r="F324" t="s">
        <v>17</v>
      </c>
      <c r="G324" s="39">
        <v>44991.958333333336</v>
      </c>
      <c r="H324">
        <v>3</v>
      </c>
      <c r="I324">
        <v>2023</v>
      </c>
      <c r="J324" s="38"/>
      <c r="K324" t="s">
        <v>102</v>
      </c>
      <c r="L324" t="s">
        <v>103</v>
      </c>
      <c r="M324" t="s">
        <v>104</v>
      </c>
      <c r="O324"/>
      <c r="P324" t="s">
        <v>34</v>
      </c>
      <c r="Q324" t="s">
        <v>105</v>
      </c>
      <c r="R324" t="s">
        <v>87</v>
      </c>
      <c r="U324" t="b">
        <v>1</v>
      </c>
      <c r="V324" t="b">
        <v>1</v>
      </c>
      <c r="W324" t="b">
        <v>1</v>
      </c>
      <c r="Y324" s="38"/>
      <c r="AS324"/>
    </row>
    <row r="325" spans="1:45" x14ac:dyDescent="0.3">
      <c r="A325">
        <v>247</v>
      </c>
      <c r="B325" t="s">
        <v>71</v>
      </c>
      <c r="E325" t="s">
        <v>635</v>
      </c>
      <c r="F325" t="s">
        <v>17</v>
      </c>
      <c r="G325" s="39">
        <v>44998.958333333336</v>
      </c>
      <c r="H325">
        <v>3</v>
      </c>
      <c r="I325">
        <v>2023</v>
      </c>
      <c r="J325" s="38"/>
      <c r="K325" t="s">
        <v>121</v>
      </c>
      <c r="L325" t="s">
        <v>122</v>
      </c>
      <c r="M325" t="s">
        <v>123</v>
      </c>
      <c r="O325"/>
      <c r="P325" t="s">
        <v>101</v>
      </c>
      <c r="Q325" t="s">
        <v>409</v>
      </c>
      <c r="R325" t="s">
        <v>124</v>
      </c>
      <c r="U325" t="b">
        <v>1</v>
      </c>
      <c r="V325" t="b">
        <v>1</v>
      </c>
      <c r="W325" t="b">
        <v>1</v>
      </c>
      <c r="Y325" s="38"/>
      <c r="AS325"/>
    </row>
    <row r="326" spans="1:45" x14ac:dyDescent="0.3">
      <c r="A326">
        <v>246</v>
      </c>
      <c r="B326" t="s">
        <v>71</v>
      </c>
      <c r="E326" t="s">
        <v>634</v>
      </c>
      <c r="F326" t="s">
        <v>17</v>
      </c>
      <c r="G326" s="39">
        <v>45000.958333333336</v>
      </c>
      <c r="H326">
        <v>3</v>
      </c>
      <c r="I326">
        <v>2023</v>
      </c>
      <c r="J326" s="38"/>
      <c r="K326" t="s">
        <v>82</v>
      </c>
      <c r="L326" t="s">
        <v>350</v>
      </c>
      <c r="M326" t="s">
        <v>469</v>
      </c>
      <c r="O326"/>
      <c r="P326" t="s">
        <v>83</v>
      </c>
      <c r="Q326" t="s">
        <v>470</v>
      </c>
      <c r="R326" t="s">
        <v>31</v>
      </c>
      <c r="U326" t="b">
        <v>1</v>
      </c>
      <c r="V326" t="b">
        <v>1</v>
      </c>
      <c r="W326" t="b">
        <v>1</v>
      </c>
      <c r="Y326" s="38"/>
      <c r="AS326"/>
    </row>
    <row r="327" spans="1:45" x14ac:dyDescent="0.3">
      <c r="A327">
        <v>245</v>
      </c>
      <c r="B327" t="s">
        <v>71</v>
      </c>
      <c r="E327" t="s">
        <v>633</v>
      </c>
      <c r="F327" t="s">
        <v>17</v>
      </c>
      <c r="G327" s="39">
        <v>45004.958333333336</v>
      </c>
      <c r="H327">
        <v>3</v>
      </c>
      <c r="I327">
        <v>2023</v>
      </c>
      <c r="J327" s="38"/>
      <c r="K327" t="s">
        <v>140</v>
      </c>
      <c r="L327" t="s">
        <v>141</v>
      </c>
      <c r="M327" t="s">
        <v>142</v>
      </c>
      <c r="O327"/>
      <c r="P327" t="s">
        <v>101</v>
      </c>
      <c r="Q327" t="s">
        <v>143</v>
      </c>
      <c r="R327" t="s">
        <v>144</v>
      </c>
      <c r="U327" t="b">
        <v>1</v>
      </c>
      <c r="V327" t="b">
        <v>1</v>
      </c>
      <c r="W327" t="b">
        <v>1</v>
      </c>
      <c r="Y327" s="38"/>
      <c r="AS327"/>
    </row>
    <row r="328" spans="1:45" x14ac:dyDescent="0.3">
      <c r="A328">
        <v>244</v>
      </c>
      <c r="B328" t="s">
        <v>71</v>
      </c>
      <c r="E328" t="s">
        <v>632</v>
      </c>
      <c r="F328" t="s">
        <v>17</v>
      </c>
      <c r="G328" s="39">
        <v>45004.958333333336</v>
      </c>
      <c r="H328">
        <v>3</v>
      </c>
      <c r="I328">
        <v>2023</v>
      </c>
      <c r="J328" s="38"/>
      <c r="K328" t="s">
        <v>102</v>
      </c>
      <c r="L328" t="s">
        <v>103</v>
      </c>
      <c r="M328" t="s">
        <v>106</v>
      </c>
      <c r="O328"/>
      <c r="P328" t="s">
        <v>83</v>
      </c>
      <c r="Q328" t="s">
        <v>108</v>
      </c>
      <c r="R328" t="s">
        <v>109</v>
      </c>
      <c r="U328" t="b">
        <v>1</v>
      </c>
      <c r="V328" t="b">
        <v>1</v>
      </c>
      <c r="W328" t="b">
        <v>1</v>
      </c>
      <c r="Y328" s="38"/>
      <c r="AS328"/>
    </row>
    <row r="329" spans="1:45" x14ac:dyDescent="0.3">
      <c r="A329">
        <v>243</v>
      </c>
      <c r="B329" t="s">
        <v>71</v>
      </c>
      <c r="E329" t="s">
        <v>631</v>
      </c>
      <c r="F329" t="s">
        <v>17</v>
      </c>
      <c r="G329" s="39">
        <v>45039.916666666664</v>
      </c>
      <c r="H329">
        <v>4</v>
      </c>
      <c r="I329">
        <v>2023</v>
      </c>
      <c r="J329" s="38"/>
      <c r="K329" t="s">
        <v>32</v>
      </c>
      <c r="L329" t="s">
        <v>480</v>
      </c>
      <c r="M329" t="s">
        <v>136</v>
      </c>
      <c r="O329"/>
      <c r="P329" t="s">
        <v>83</v>
      </c>
      <c r="Q329" t="s">
        <v>481</v>
      </c>
      <c r="R329" t="s">
        <v>482</v>
      </c>
      <c r="U329" t="b">
        <v>1</v>
      </c>
      <c r="V329" t="b">
        <v>1</v>
      </c>
      <c r="W329" t="b">
        <v>1</v>
      </c>
      <c r="Y329" s="38"/>
      <c r="AS329"/>
    </row>
    <row r="330" spans="1:45" x14ac:dyDescent="0.3">
      <c r="A330">
        <v>242</v>
      </c>
      <c r="B330" t="s">
        <v>71</v>
      </c>
      <c r="E330" t="s">
        <v>630</v>
      </c>
      <c r="F330" t="s">
        <v>17</v>
      </c>
      <c r="G330" s="39">
        <v>45021.916666666664</v>
      </c>
      <c r="H330">
        <v>4</v>
      </c>
      <c r="I330">
        <v>2023</v>
      </c>
      <c r="J330" s="38"/>
      <c r="K330" t="s">
        <v>102</v>
      </c>
      <c r="L330" t="s">
        <v>103</v>
      </c>
      <c r="M330" t="s">
        <v>104</v>
      </c>
      <c r="O330"/>
      <c r="P330" t="s">
        <v>83</v>
      </c>
      <c r="Q330" t="s">
        <v>105</v>
      </c>
      <c r="R330" t="s">
        <v>87</v>
      </c>
      <c r="U330" t="b">
        <v>1</v>
      </c>
      <c r="V330" t="b">
        <v>1</v>
      </c>
      <c r="W330" t="b">
        <v>1</v>
      </c>
      <c r="Y330" s="38"/>
      <c r="AS330"/>
    </row>
    <row r="331" spans="1:45" x14ac:dyDescent="0.3">
      <c r="A331">
        <v>241</v>
      </c>
      <c r="B331" t="s">
        <v>71</v>
      </c>
      <c r="E331" t="s">
        <v>629</v>
      </c>
      <c r="F331" t="s">
        <v>17</v>
      </c>
      <c r="G331" s="39">
        <v>45039.916666666664</v>
      </c>
      <c r="H331">
        <v>4</v>
      </c>
      <c r="I331">
        <v>2023</v>
      </c>
      <c r="J331" s="38"/>
      <c r="K331" t="s">
        <v>133</v>
      </c>
      <c r="L331" t="s">
        <v>134</v>
      </c>
      <c r="M331" t="s">
        <v>123</v>
      </c>
      <c r="O331"/>
      <c r="P331" t="s">
        <v>34</v>
      </c>
      <c r="Q331" t="s">
        <v>135</v>
      </c>
      <c r="R331" t="s">
        <v>7</v>
      </c>
      <c r="U331" t="b">
        <v>1</v>
      </c>
      <c r="V331" t="b">
        <v>1</v>
      </c>
      <c r="W331" t="b">
        <v>1</v>
      </c>
      <c r="Y331" s="38"/>
      <c r="AS331"/>
    </row>
    <row r="332" spans="1:45" x14ac:dyDescent="0.3">
      <c r="A332">
        <v>240</v>
      </c>
      <c r="B332" t="s">
        <v>71</v>
      </c>
      <c r="E332" t="s">
        <v>628</v>
      </c>
      <c r="F332" t="s">
        <v>17</v>
      </c>
      <c r="G332" s="39">
        <v>45045.916666666664</v>
      </c>
      <c r="H332">
        <v>4</v>
      </c>
      <c r="I332">
        <v>2023</v>
      </c>
      <c r="J332" s="38"/>
      <c r="K332" t="s">
        <v>82</v>
      </c>
      <c r="L332" t="s">
        <v>350</v>
      </c>
      <c r="M332" t="s">
        <v>469</v>
      </c>
      <c r="O332"/>
      <c r="P332" t="s">
        <v>83</v>
      </c>
      <c r="Q332" t="s">
        <v>470</v>
      </c>
      <c r="R332" t="s">
        <v>31</v>
      </c>
      <c r="U332" t="b">
        <v>1</v>
      </c>
      <c r="V332" t="b">
        <v>1</v>
      </c>
      <c r="W332" t="b">
        <v>1</v>
      </c>
      <c r="Y332" s="38"/>
      <c r="AS332"/>
    </row>
    <row r="333" spans="1:45" x14ac:dyDescent="0.3">
      <c r="A333">
        <v>239</v>
      </c>
      <c r="B333" t="s">
        <v>71</v>
      </c>
      <c r="E333" t="s">
        <v>627</v>
      </c>
      <c r="F333" t="s">
        <v>17</v>
      </c>
      <c r="G333" s="39">
        <v>45045.916666666664</v>
      </c>
      <c r="H333">
        <v>4</v>
      </c>
      <c r="I333">
        <v>2023</v>
      </c>
      <c r="J333" s="38"/>
      <c r="K333" t="s">
        <v>121</v>
      </c>
      <c r="L333" t="s">
        <v>122</v>
      </c>
      <c r="M333" t="s">
        <v>123</v>
      </c>
      <c r="O333"/>
      <c r="P333" t="s">
        <v>101</v>
      </c>
      <c r="Q333" t="s">
        <v>409</v>
      </c>
      <c r="R333" t="s">
        <v>124</v>
      </c>
      <c r="U333" t="b">
        <v>1</v>
      </c>
      <c r="V333" t="b">
        <v>1</v>
      </c>
      <c r="W333" t="b">
        <v>1</v>
      </c>
      <c r="Y333" s="38"/>
      <c r="AS333"/>
    </row>
    <row r="334" spans="1:45" x14ac:dyDescent="0.3">
      <c r="A334">
        <v>238</v>
      </c>
      <c r="B334" t="s">
        <v>71</v>
      </c>
      <c r="E334" t="s">
        <v>626</v>
      </c>
      <c r="F334" t="s">
        <v>17</v>
      </c>
      <c r="G334" s="39">
        <v>45054.916666666664</v>
      </c>
      <c r="H334">
        <v>5</v>
      </c>
      <c r="I334">
        <v>2023</v>
      </c>
      <c r="J334" s="38"/>
      <c r="K334" t="s">
        <v>127</v>
      </c>
      <c r="L334" t="s">
        <v>620</v>
      </c>
      <c r="M334" t="s">
        <v>14</v>
      </c>
      <c r="O334"/>
      <c r="P334" t="s">
        <v>34</v>
      </c>
      <c r="Q334" t="s">
        <v>135</v>
      </c>
      <c r="R334" t="s">
        <v>7</v>
      </c>
      <c r="U334" t="b">
        <v>1</v>
      </c>
      <c r="V334" t="b">
        <v>1</v>
      </c>
      <c r="W334" t="b">
        <v>1</v>
      </c>
      <c r="Y334" s="38"/>
      <c r="AS334"/>
    </row>
    <row r="335" spans="1:45" x14ac:dyDescent="0.3">
      <c r="A335">
        <v>237</v>
      </c>
      <c r="B335" t="s">
        <v>71</v>
      </c>
      <c r="E335" t="s">
        <v>625</v>
      </c>
      <c r="F335" t="s">
        <v>17</v>
      </c>
      <c r="G335" s="39">
        <v>45054.916666666664</v>
      </c>
      <c r="H335">
        <v>5</v>
      </c>
      <c r="I335">
        <v>2023</v>
      </c>
      <c r="J335" s="38"/>
      <c r="K335" t="s">
        <v>125</v>
      </c>
      <c r="L335" t="s">
        <v>126</v>
      </c>
      <c r="M335" t="s">
        <v>355</v>
      </c>
      <c r="O335"/>
      <c r="P335" t="s">
        <v>34</v>
      </c>
      <c r="Q335" t="s">
        <v>356</v>
      </c>
      <c r="R335" t="s">
        <v>12</v>
      </c>
      <c r="U335" t="b">
        <v>0</v>
      </c>
      <c r="V335" t="b">
        <v>1</v>
      </c>
      <c r="W335" t="b">
        <v>1</v>
      </c>
      <c r="Y335" s="38"/>
      <c r="AS335"/>
    </row>
    <row r="336" spans="1:45" x14ac:dyDescent="0.3">
      <c r="A336">
        <v>236</v>
      </c>
      <c r="B336" t="s">
        <v>71</v>
      </c>
      <c r="E336" t="s">
        <v>624</v>
      </c>
      <c r="F336" t="s">
        <v>17</v>
      </c>
      <c r="G336" s="39">
        <v>45055.916666666664</v>
      </c>
      <c r="H336">
        <v>5</v>
      </c>
      <c r="I336">
        <v>2023</v>
      </c>
      <c r="J336" s="38"/>
      <c r="K336" t="s">
        <v>125</v>
      </c>
      <c r="L336" t="s">
        <v>126</v>
      </c>
      <c r="M336" t="s">
        <v>123</v>
      </c>
      <c r="O336"/>
      <c r="P336" t="s">
        <v>101</v>
      </c>
      <c r="Q336" t="s">
        <v>139</v>
      </c>
      <c r="R336" t="s">
        <v>117</v>
      </c>
      <c r="U336" t="b">
        <v>1</v>
      </c>
      <c r="V336" t="b">
        <v>1</v>
      </c>
      <c r="W336" t="b">
        <v>1</v>
      </c>
      <c r="Y336" s="38"/>
      <c r="AS336"/>
    </row>
    <row r="337" spans="1:45" x14ac:dyDescent="0.3">
      <c r="A337">
        <v>235</v>
      </c>
      <c r="B337" t="s">
        <v>71</v>
      </c>
      <c r="E337" t="s">
        <v>623</v>
      </c>
      <c r="F337" t="s">
        <v>17</v>
      </c>
      <c r="G337" s="39">
        <v>45055.916666666664</v>
      </c>
      <c r="H337">
        <v>5</v>
      </c>
      <c r="I337">
        <v>2023</v>
      </c>
      <c r="J337" s="38"/>
      <c r="K337" t="s">
        <v>110</v>
      </c>
      <c r="L337" t="s">
        <v>401</v>
      </c>
      <c r="M337" t="s">
        <v>112</v>
      </c>
      <c r="O337"/>
      <c r="P337" t="s">
        <v>83</v>
      </c>
      <c r="Q337" t="s">
        <v>402</v>
      </c>
      <c r="R337" t="s">
        <v>403</v>
      </c>
      <c r="U337" t="b">
        <v>1</v>
      </c>
      <c r="V337" t="b">
        <v>1</v>
      </c>
      <c r="W337" t="b">
        <v>1</v>
      </c>
      <c r="Y337" s="38"/>
      <c r="AS337"/>
    </row>
    <row r="338" spans="1:45" x14ac:dyDescent="0.3">
      <c r="A338">
        <v>234</v>
      </c>
      <c r="B338" t="s">
        <v>71</v>
      </c>
      <c r="E338" t="s">
        <v>622</v>
      </c>
      <c r="F338" t="s">
        <v>17</v>
      </c>
      <c r="G338" s="39">
        <v>45056.916666666664</v>
      </c>
      <c r="H338">
        <v>5</v>
      </c>
      <c r="I338">
        <v>2023</v>
      </c>
      <c r="J338" s="38"/>
      <c r="K338" t="s">
        <v>102</v>
      </c>
      <c r="L338" t="s">
        <v>103</v>
      </c>
      <c r="M338" t="s">
        <v>104</v>
      </c>
      <c r="O338"/>
      <c r="P338" t="s">
        <v>83</v>
      </c>
      <c r="Q338" t="s">
        <v>105</v>
      </c>
      <c r="R338" t="s">
        <v>87</v>
      </c>
      <c r="U338" t="b">
        <v>0</v>
      </c>
      <c r="V338" t="b">
        <v>1</v>
      </c>
      <c r="W338" t="b">
        <v>1</v>
      </c>
      <c r="Y338" s="38"/>
      <c r="AS338"/>
    </row>
    <row r="339" spans="1:45" x14ac:dyDescent="0.3">
      <c r="A339">
        <v>233</v>
      </c>
      <c r="B339" t="s">
        <v>71</v>
      </c>
      <c r="E339" t="s">
        <v>621</v>
      </c>
      <c r="F339" t="s">
        <v>17</v>
      </c>
      <c r="G339" s="39">
        <v>45059.916666666664</v>
      </c>
      <c r="H339">
        <v>5</v>
      </c>
      <c r="I339">
        <v>2023</v>
      </c>
      <c r="J339" s="38"/>
      <c r="K339" t="s">
        <v>113</v>
      </c>
      <c r="L339" t="s">
        <v>114</v>
      </c>
      <c r="M339" t="s">
        <v>115</v>
      </c>
      <c r="O339"/>
      <c r="P339" t="s">
        <v>107</v>
      </c>
      <c r="Q339" t="s">
        <v>116</v>
      </c>
      <c r="R339" t="s">
        <v>117</v>
      </c>
      <c r="U339" t="b">
        <v>1</v>
      </c>
      <c r="V339" t="b">
        <v>1</v>
      </c>
      <c r="W339" t="b">
        <v>1</v>
      </c>
      <c r="Y339" s="38"/>
      <c r="AS339"/>
    </row>
    <row r="340" spans="1:45" x14ac:dyDescent="0.3">
      <c r="A340">
        <v>232</v>
      </c>
      <c r="B340" t="s">
        <v>71</v>
      </c>
      <c r="E340" t="s">
        <v>619</v>
      </c>
      <c r="F340" t="s">
        <v>17</v>
      </c>
      <c r="G340" s="39">
        <v>45059.916666666664</v>
      </c>
      <c r="H340">
        <v>5</v>
      </c>
      <c r="I340">
        <v>2023</v>
      </c>
      <c r="J340" s="38"/>
      <c r="K340" t="s">
        <v>127</v>
      </c>
      <c r="L340" t="s">
        <v>620</v>
      </c>
      <c r="M340" t="s">
        <v>128</v>
      </c>
      <c r="O340"/>
      <c r="P340" t="s">
        <v>34</v>
      </c>
      <c r="Q340" t="s">
        <v>129</v>
      </c>
      <c r="R340" t="s">
        <v>12</v>
      </c>
      <c r="U340" t="b">
        <v>1</v>
      </c>
      <c r="V340" t="b">
        <v>1</v>
      </c>
      <c r="W340" t="b">
        <v>1</v>
      </c>
      <c r="Y340" s="38"/>
      <c r="AS340"/>
    </row>
    <row r="341" spans="1:45" x14ac:dyDescent="0.3">
      <c r="A341">
        <v>231</v>
      </c>
      <c r="B341" t="s">
        <v>71</v>
      </c>
      <c r="E341" t="s">
        <v>618</v>
      </c>
      <c r="F341" t="s">
        <v>17</v>
      </c>
      <c r="G341" s="39">
        <v>45066.916666666664</v>
      </c>
      <c r="H341">
        <v>5</v>
      </c>
      <c r="I341">
        <v>2023</v>
      </c>
      <c r="J341" s="38"/>
      <c r="K341" t="s">
        <v>82</v>
      </c>
      <c r="L341" t="s">
        <v>350</v>
      </c>
      <c r="M341" t="s">
        <v>93</v>
      </c>
      <c r="O341"/>
      <c r="P341" t="s">
        <v>83</v>
      </c>
      <c r="Q341" t="s">
        <v>94</v>
      </c>
      <c r="R341" t="s">
        <v>87</v>
      </c>
      <c r="U341" t="b">
        <v>0</v>
      </c>
      <c r="V341" t="b">
        <v>1</v>
      </c>
      <c r="W341" t="b">
        <v>1</v>
      </c>
      <c r="Y341" s="38"/>
      <c r="AS341"/>
    </row>
    <row r="342" spans="1:45" x14ac:dyDescent="0.3">
      <c r="A342">
        <v>230</v>
      </c>
      <c r="B342" t="s">
        <v>71</v>
      </c>
      <c r="E342" t="s">
        <v>617</v>
      </c>
      <c r="F342" t="s">
        <v>17</v>
      </c>
      <c r="G342" s="39">
        <v>45066.916666666664</v>
      </c>
      <c r="H342">
        <v>5</v>
      </c>
      <c r="I342">
        <v>2023</v>
      </c>
      <c r="J342" s="38"/>
      <c r="K342" t="s">
        <v>148</v>
      </c>
      <c r="L342" t="s">
        <v>375</v>
      </c>
      <c r="M342" t="s">
        <v>95</v>
      </c>
      <c r="O342"/>
      <c r="P342" t="s">
        <v>83</v>
      </c>
      <c r="Q342" t="s">
        <v>96</v>
      </c>
      <c r="R342" t="s">
        <v>97</v>
      </c>
      <c r="U342" t="b">
        <v>1</v>
      </c>
      <c r="V342" t="b">
        <v>1</v>
      </c>
      <c r="W342" t="b">
        <v>1</v>
      </c>
      <c r="Y342" s="38"/>
      <c r="AS342"/>
    </row>
    <row r="343" spans="1:45" x14ac:dyDescent="0.3">
      <c r="A343">
        <v>229</v>
      </c>
      <c r="B343" t="s">
        <v>71</v>
      </c>
      <c r="E343" t="s">
        <v>616</v>
      </c>
      <c r="F343" t="s">
        <v>17</v>
      </c>
      <c r="G343" s="39">
        <v>45067.916666666664</v>
      </c>
      <c r="H343">
        <v>5</v>
      </c>
      <c r="I343">
        <v>2023</v>
      </c>
      <c r="J343" s="38"/>
      <c r="K343" t="s">
        <v>133</v>
      </c>
      <c r="L343" t="s">
        <v>134</v>
      </c>
      <c r="M343" t="s">
        <v>14</v>
      </c>
      <c r="O343"/>
      <c r="P343" t="s">
        <v>34</v>
      </c>
      <c r="Q343" t="s">
        <v>335</v>
      </c>
      <c r="R343" t="s">
        <v>336</v>
      </c>
      <c r="U343" t="b">
        <v>1</v>
      </c>
      <c r="V343" t="b">
        <v>1</v>
      </c>
      <c r="W343" t="b">
        <v>1</v>
      </c>
      <c r="Y343" s="38"/>
      <c r="AS343"/>
    </row>
    <row r="344" spans="1:45" x14ac:dyDescent="0.3">
      <c r="A344">
        <v>228</v>
      </c>
      <c r="B344" t="s">
        <v>71</v>
      </c>
      <c r="E344" t="s">
        <v>615</v>
      </c>
      <c r="F344" t="s">
        <v>17</v>
      </c>
      <c r="G344" s="39">
        <v>45069.916666666664</v>
      </c>
      <c r="H344">
        <v>5</v>
      </c>
      <c r="I344">
        <v>2023</v>
      </c>
      <c r="J344" s="38"/>
      <c r="K344" t="s">
        <v>14</v>
      </c>
      <c r="L344" t="s">
        <v>99</v>
      </c>
      <c r="M344" t="s">
        <v>100</v>
      </c>
      <c r="O344"/>
      <c r="P344" t="s">
        <v>101</v>
      </c>
      <c r="Q344" t="s">
        <v>500</v>
      </c>
      <c r="R344" t="s">
        <v>501</v>
      </c>
      <c r="U344" t="b">
        <v>1</v>
      </c>
      <c r="V344" t="b">
        <v>1</v>
      </c>
      <c r="W344" t="b">
        <v>1</v>
      </c>
      <c r="Y344" s="38"/>
      <c r="AS344"/>
    </row>
    <row r="345" spans="1:45" x14ac:dyDescent="0.3">
      <c r="A345">
        <v>227</v>
      </c>
      <c r="B345" t="s">
        <v>71</v>
      </c>
      <c r="E345" t="s">
        <v>614</v>
      </c>
      <c r="F345" t="s">
        <v>17</v>
      </c>
      <c r="G345" s="39">
        <v>45069.916666666664</v>
      </c>
      <c r="H345">
        <v>5</v>
      </c>
      <c r="I345">
        <v>2023</v>
      </c>
      <c r="J345" s="38"/>
      <c r="K345" t="s">
        <v>14</v>
      </c>
      <c r="L345" t="s">
        <v>99</v>
      </c>
      <c r="M345" t="s">
        <v>14</v>
      </c>
      <c r="O345"/>
      <c r="P345" t="s">
        <v>83</v>
      </c>
      <c r="Q345" t="s">
        <v>493</v>
      </c>
      <c r="R345" t="s">
        <v>494</v>
      </c>
      <c r="U345" t="b">
        <v>1</v>
      </c>
      <c r="V345" t="b">
        <v>1</v>
      </c>
      <c r="W345" t="b">
        <v>1</v>
      </c>
      <c r="Y345" s="38"/>
      <c r="AS345"/>
    </row>
    <row r="346" spans="1:45" x14ac:dyDescent="0.3">
      <c r="A346">
        <v>226</v>
      </c>
      <c r="B346" t="s">
        <v>71</v>
      </c>
      <c r="E346" t="s">
        <v>613</v>
      </c>
      <c r="F346" t="s">
        <v>17</v>
      </c>
      <c r="G346" s="39">
        <v>45070.916666666664</v>
      </c>
      <c r="H346">
        <v>5</v>
      </c>
      <c r="I346">
        <v>2023</v>
      </c>
      <c r="J346" s="38"/>
      <c r="K346" t="s">
        <v>32</v>
      </c>
      <c r="L346" t="s">
        <v>480</v>
      </c>
      <c r="M346" t="s">
        <v>136</v>
      </c>
      <c r="O346"/>
      <c r="P346" t="s">
        <v>83</v>
      </c>
      <c r="Q346" t="s">
        <v>481</v>
      </c>
      <c r="R346" t="s">
        <v>482</v>
      </c>
      <c r="U346" t="b">
        <v>1</v>
      </c>
      <c r="V346" t="b">
        <v>1</v>
      </c>
      <c r="W346" t="b">
        <v>1</v>
      </c>
      <c r="Y346" s="38"/>
      <c r="AS346"/>
    </row>
    <row r="347" spans="1:45" x14ac:dyDescent="0.3">
      <c r="A347">
        <v>225</v>
      </c>
      <c r="B347" t="s">
        <v>71</v>
      </c>
      <c r="E347" t="s">
        <v>612</v>
      </c>
      <c r="F347" t="s">
        <v>17</v>
      </c>
      <c r="G347" s="39">
        <v>45069.916666666664</v>
      </c>
      <c r="H347">
        <v>5</v>
      </c>
      <c r="I347">
        <v>2023</v>
      </c>
      <c r="J347" s="38"/>
      <c r="K347" t="s">
        <v>82</v>
      </c>
      <c r="L347" t="s">
        <v>350</v>
      </c>
      <c r="M347" t="s">
        <v>469</v>
      </c>
      <c r="O347"/>
      <c r="P347" t="s">
        <v>83</v>
      </c>
      <c r="Q347" t="s">
        <v>470</v>
      </c>
      <c r="R347" t="s">
        <v>31</v>
      </c>
      <c r="U347" t="b">
        <v>1</v>
      </c>
      <c r="V347" t="b">
        <v>1</v>
      </c>
      <c r="W347" t="b">
        <v>1</v>
      </c>
      <c r="Y347" s="38"/>
      <c r="AS347"/>
    </row>
    <row r="348" spans="1:45" x14ac:dyDescent="0.3">
      <c r="A348">
        <v>224</v>
      </c>
      <c r="B348" t="s">
        <v>71</v>
      </c>
      <c r="E348" t="s">
        <v>611</v>
      </c>
      <c r="F348" t="s">
        <v>17</v>
      </c>
      <c r="G348" s="39">
        <v>45069.916666666664</v>
      </c>
      <c r="H348">
        <v>5</v>
      </c>
      <c r="I348">
        <v>2023</v>
      </c>
      <c r="J348" s="38"/>
      <c r="K348" t="s">
        <v>133</v>
      </c>
      <c r="L348" t="s">
        <v>134</v>
      </c>
      <c r="M348" t="s">
        <v>123</v>
      </c>
      <c r="O348"/>
      <c r="P348" t="s">
        <v>34</v>
      </c>
      <c r="Q348" t="s">
        <v>135</v>
      </c>
      <c r="R348" t="s">
        <v>7</v>
      </c>
      <c r="U348" t="b">
        <v>1</v>
      </c>
      <c r="V348" t="b">
        <v>1</v>
      </c>
      <c r="W348" t="b">
        <v>1</v>
      </c>
      <c r="Y348" s="38"/>
      <c r="AS348"/>
    </row>
    <row r="349" spans="1:45" x14ac:dyDescent="0.3">
      <c r="A349">
        <v>223</v>
      </c>
      <c r="B349" t="s">
        <v>71</v>
      </c>
      <c r="E349" t="s">
        <v>610</v>
      </c>
      <c r="F349" t="s">
        <v>17</v>
      </c>
      <c r="G349" s="39">
        <v>45071.916666666664</v>
      </c>
      <c r="H349">
        <v>5</v>
      </c>
      <c r="I349">
        <v>2023</v>
      </c>
      <c r="J349" s="38"/>
      <c r="K349" t="s">
        <v>33</v>
      </c>
      <c r="L349" t="s">
        <v>487</v>
      </c>
      <c r="M349" t="s">
        <v>88</v>
      </c>
      <c r="O349"/>
      <c r="P349" t="s">
        <v>83</v>
      </c>
      <c r="Q349" t="s">
        <v>481</v>
      </c>
      <c r="R349" t="s">
        <v>482</v>
      </c>
      <c r="U349" t="b">
        <v>1</v>
      </c>
      <c r="V349" t="b">
        <v>1</v>
      </c>
      <c r="W349" t="b">
        <v>1</v>
      </c>
      <c r="Y349" s="38"/>
      <c r="AS349"/>
    </row>
    <row r="350" spans="1:45" x14ac:dyDescent="0.3">
      <c r="A350">
        <v>222</v>
      </c>
      <c r="B350" t="s">
        <v>71</v>
      </c>
      <c r="E350" t="s">
        <v>609</v>
      </c>
      <c r="F350" t="s">
        <v>17</v>
      </c>
      <c r="G350" s="39">
        <v>45070.916666666664</v>
      </c>
      <c r="H350">
        <v>5</v>
      </c>
      <c r="I350">
        <v>2023</v>
      </c>
      <c r="J350" s="38"/>
      <c r="K350" t="s">
        <v>14</v>
      </c>
      <c r="L350" t="s">
        <v>99</v>
      </c>
      <c r="M350" t="s">
        <v>112</v>
      </c>
      <c r="O350"/>
      <c r="P350" t="s">
        <v>34</v>
      </c>
      <c r="Q350" t="s">
        <v>135</v>
      </c>
      <c r="R350" t="s">
        <v>31</v>
      </c>
      <c r="U350" t="b">
        <v>1</v>
      </c>
      <c r="V350" t="b">
        <v>1</v>
      </c>
      <c r="W350" t="b">
        <v>1</v>
      </c>
      <c r="Y350" s="38"/>
      <c r="AS350"/>
    </row>
    <row r="351" spans="1:45" x14ac:dyDescent="0.3">
      <c r="A351">
        <v>221</v>
      </c>
      <c r="B351" t="s">
        <v>71</v>
      </c>
      <c r="E351" t="s">
        <v>608</v>
      </c>
      <c r="F351" t="s">
        <v>17</v>
      </c>
      <c r="G351" s="39">
        <v>45072.916666666664</v>
      </c>
      <c r="H351">
        <v>5</v>
      </c>
      <c r="I351">
        <v>2023</v>
      </c>
      <c r="J351" s="38"/>
      <c r="K351" t="s">
        <v>121</v>
      </c>
      <c r="L351" t="s">
        <v>122</v>
      </c>
      <c r="M351" t="s">
        <v>123</v>
      </c>
      <c r="O351"/>
      <c r="P351" t="s">
        <v>101</v>
      </c>
      <c r="Q351" t="s">
        <v>149</v>
      </c>
      <c r="R351" t="s">
        <v>124</v>
      </c>
      <c r="U351" t="b">
        <v>1</v>
      </c>
      <c r="V351" t="b">
        <v>1</v>
      </c>
      <c r="W351" t="b">
        <v>1</v>
      </c>
      <c r="Y351" s="38"/>
      <c r="AS351"/>
    </row>
    <row r="352" spans="1:45" x14ac:dyDescent="0.3">
      <c r="A352">
        <v>220</v>
      </c>
      <c r="B352" t="s">
        <v>71</v>
      </c>
      <c r="E352" t="s">
        <v>607</v>
      </c>
      <c r="F352" t="s">
        <v>17</v>
      </c>
      <c r="G352" s="39">
        <v>45079.916666666664</v>
      </c>
      <c r="H352">
        <v>6</v>
      </c>
      <c r="I352">
        <v>2023</v>
      </c>
      <c r="J352" s="38"/>
      <c r="K352" t="s">
        <v>32</v>
      </c>
      <c r="L352" t="s">
        <v>480</v>
      </c>
      <c r="M352" t="s">
        <v>136</v>
      </c>
      <c r="O352"/>
      <c r="P352" t="s">
        <v>83</v>
      </c>
      <c r="Q352" t="s">
        <v>481</v>
      </c>
      <c r="R352" t="s">
        <v>482</v>
      </c>
      <c r="U352" t="b">
        <v>1</v>
      </c>
      <c r="V352" t="b">
        <v>1</v>
      </c>
      <c r="W352" t="b">
        <v>1</v>
      </c>
      <c r="Y352" s="38"/>
      <c r="AS352"/>
    </row>
    <row r="353" spans="1:45" x14ac:dyDescent="0.3">
      <c r="A353">
        <v>219</v>
      </c>
      <c r="B353" t="s">
        <v>71</v>
      </c>
      <c r="E353" t="s">
        <v>606</v>
      </c>
      <c r="F353" t="s">
        <v>17</v>
      </c>
      <c r="G353" s="39">
        <v>45080.916666666664</v>
      </c>
      <c r="H353">
        <v>6</v>
      </c>
      <c r="I353">
        <v>2023</v>
      </c>
      <c r="J353" s="38"/>
      <c r="K353" t="s">
        <v>127</v>
      </c>
      <c r="L353" t="s">
        <v>150</v>
      </c>
      <c r="M353" t="s">
        <v>14</v>
      </c>
      <c r="O353"/>
      <c r="P353" t="s">
        <v>34</v>
      </c>
      <c r="Q353" t="s">
        <v>135</v>
      </c>
      <c r="R353" t="s">
        <v>7</v>
      </c>
      <c r="U353" t="b">
        <v>1</v>
      </c>
      <c r="V353" t="b">
        <v>1</v>
      </c>
      <c r="W353" t="b">
        <v>1</v>
      </c>
      <c r="Y353" s="38"/>
      <c r="AS353"/>
    </row>
    <row r="354" spans="1:45" x14ac:dyDescent="0.3">
      <c r="A354">
        <v>218</v>
      </c>
      <c r="B354" t="s">
        <v>71</v>
      </c>
      <c r="E354" t="s">
        <v>605</v>
      </c>
      <c r="F354" t="s">
        <v>17</v>
      </c>
      <c r="G354" s="39">
        <v>45083.916666666664</v>
      </c>
      <c r="H354">
        <v>6</v>
      </c>
      <c r="I354">
        <v>2023</v>
      </c>
      <c r="J354" s="38"/>
      <c r="K354" t="s">
        <v>151</v>
      </c>
      <c r="L354" t="s">
        <v>348</v>
      </c>
      <c r="M354" t="s">
        <v>85</v>
      </c>
      <c r="O354"/>
      <c r="P354" t="s">
        <v>83</v>
      </c>
      <c r="Q354" t="s">
        <v>86</v>
      </c>
      <c r="R354" t="s">
        <v>87</v>
      </c>
      <c r="U354" t="b">
        <v>0</v>
      </c>
      <c r="V354" t="b">
        <v>1</v>
      </c>
      <c r="W354" t="b">
        <v>1</v>
      </c>
      <c r="Y354" s="38"/>
      <c r="AS354"/>
    </row>
    <row r="355" spans="1:45" x14ac:dyDescent="0.3">
      <c r="A355">
        <v>217</v>
      </c>
      <c r="B355" t="s">
        <v>71</v>
      </c>
      <c r="E355" t="s">
        <v>604</v>
      </c>
      <c r="F355" t="s">
        <v>17</v>
      </c>
      <c r="G355" s="39">
        <v>45088.916666666664</v>
      </c>
      <c r="H355">
        <v>6</v>
      </c>
      <c r="I355">
        <v>2023</v>
      </c>
      <c r="J355" s="38"/>
      <c r="K355" t="s">
        <v>110</v>
      </c>
      <c r="L355" t="s">
        <v>401</v>
      </c>
      <c r="M355" t="s">
        <v>112</v>
      </c>
      <c r="O355"/>
      <c r="P355" t="s">
        <v>83</v>
      </c>
      <c r="Q355" t="s">
        <v>402</v>
      </c>
      <c r="R355" t="s">
        <v>403</v>
      </c>
      <c r="U355" t="b">
        <v>1</v>
      </c>
      <c r="V355" t="b">
        <v>1</v>
      </c>
      <c r="W355" t="b">
        <v>1</v>
      </c>
      <c r="Y355" s="38"/>
      <c r="AS355"/>
    </row>
    <row r="356" spans="1:45" x14ac:dyDescent="0.3">
      <c r="A356">
        <v>216</v>
      </c>
      <c r="B356" t="s">
        <v>71</v>
      </c>
      <c r="E356" t="s">
        <v>603</v>
      </c>
      <c r="F356" t="s">
        <v>17</v>
      </c>
      <c r="G356" s="39">
        <v>45088.916666666664</v>
      </c>
      <c r="H356">
        <v>6</v>
      </c>
      <c r="I356">
        <v>2023</v>
      </c>
      <c r="J356" s="38"/>
      <c r="K356" t="s">
        <v>110</v>
      </c>
      <c r="L356" t="s">
        <v>401</v>
      </c>
      <c r="M356" t="s">
        <v>439</v>
      </c>
      <c r="O356"/>
      <c r="P356" t="s">
        <v>83</v>
      </c>
      <c r="Q356" t="s">
        <v>94</v>
      </c>
      <c r="R356" t="s">
        <v>87</v>
      </c>
      <c r="U356" t="b">
        <v>1</v>
      </c>
      <c r="V356" t="b">
        <v>1</v>
      </c>
      <c r="W356" t="b">
        <v>1</v>
      </c>
      <c r="Y356" s="38"/>
      <c r="AS356"/>
    </row>
    <row r="357" spans="1:45" x14ac:dyDescent="0.3">
      <c r="A357">
        <v>215</v>
      </c>
      <c r="B357" t="s">
        <v>71</v>
      </c>
      <c r="E357" t="s">
        <v>601</v>
      </c>
      <c r="F357" t="s">
        <v>17</v>
      </c>
      <c r="G357" s="39">
        <v>45088.916666666664</v>
      </c>
      <c r="H357">
        <v>6</v>
      </c>
      <c r="I357">
        <v>2023</v>
      </c>
      <c r="J357" s="38"/>
      <c r="K357" t="s">
        <v>110</v>
      </c>
      <c r="L357" t="s">
        <v>401</v>
      </c>
      <c r="M357" t="s">
        <v>424</v>
      </c>
      <c r="O357"/>
      <c r="P357" t="s">
        <v>83</v>
      </c>
      <c r="Q357" t="s">
        <v>602</v>
      </c>
      <c r="R357" t="s">
        <v>97</v>
      </c>
      <c r="U357" t="b">
        <v>1</v>
      </c>
      <c r="V357" t="b">
        <v>1</v>
      </c>
      <c r="W357" t="b">
        <v>1</v>
      </c>
      <c r="Y357" s="38"/>
      <c r="AS357"/>
    </row>
    <row r="358" spans="1:45" x14ac:dyDescent="0.3">
      <c r="A358">
        <v>214</v>
      </c>
      <c r="B358" t="s">
        <v>71</v>
      </c>
      <c r="E358" t="s">
        <v>600</v>
      </c>
      <c r="F358" t="s">
        <v>17</v>
      </c>
      <c r="G358" s="39">
        <v>45083.916666666664</v>
      </c>
      <c r="H358">
        <v>6</v>
      </c>
      <c r="I358">
        <v>2023</v>
      </c>
      <c r="J358" s="38"/>
      <c r="K358" t="s">
        <v>121</v>
      </c>
      <c r="L358" t="s">
        <v>122</v>
      </c>
      <c r="M358" t="s">
        <v>123</v>
      </c>
      <c r="O358"/>
      <c r="P358" t="s">
        <v>101</v>
      </c>
      <c r="Q358" t="s">
        <v>149</v>
      </c>
      <c r="R358" t="s">
        <v>124</v>
      </c>
      <c r="U358" t="b">
        <v>1</v>
      </c>
      <c r="V358" t="b">
        <v>1</v>
      </c>
      <c r="W358" t="b">
        <v>1</v>
      </c>
      <c r="Y358" s="38"/>
      <c r="AS358"/>
    </row>
    <row r="359" spans="1:45" x14ac:dyDescent="0.3">
      <c r="A359">
        <v>213</v>
      </c>
      <c r="B359" t="s">
        <v>71</v>
      </c>
      <c r="E359" t="s">
        <v>599</v>
      </c>
      <c r="F359" t="s">
        <v>17</v>
      </c>
      <c r="G359" s="39">
        <v>45071.916666666664</v>
      </c>
      <c r="H359">
        <v>5</v>
      </c>
      <c r="I359">
        <v>2023</v>
      </c>
      <c r="J359" s="38"/>
      <c r="K359" t="s">
        <v>140</v>
      </c>
      <c r="L359" t="s">
        <v>141</v>
      </c>
      <c r="M359" t="s">
        <v>152</v>
      </c>
      <c r="O359"/>
      <c r="P359" t="s">
        <v>34</v>
      </c>
      <c r="Q359" t="s">
        <v>60</v>
      </c>
      <c r="R359" t="s">
        <v>7</v>
      </c>
      <c r="U359" t="b">
        <v>1</v>
      </c>
      <c r="V359" t="b">
        <v>1</v>
      </c>
      <c r="W359" t="b">
        <v>1</v>
      </c>
      <c r="Y359" s="38"/>
      <c r="AS359"/>
    </row>
    <row r="360" spans="1:45" x14ac:dyDescent="0.3">
      <c r="A360">
        <v>212</v>
      </c>
      <c r="B360" t="s">
        <v>71</v>
      </c>
      <c r="E360" t="s">
        <v>598</v>
      </c>
      <c r="F360" t="s">
        <v>17</v>
      </c>
      <c r="G360" s="39">
        <v>45091.916666666664</v>
      </c>
      <c r="H360">
        <v>6</v>
      </c>
      <c r="I360">
        <v>2023</v>
      </c>
      <c r="J360" s="38"/>
      <c r="K360" t="s">
        <v>113</v>
      </c>
      <c r="L360" t="s">
        <v>114</v>
      </c>
      <c r="M360" t="s">
        <v>115</v>
      </c>
      <c r="O360"/>
      <c r="P360" t="s">
        <v>107</v>
      </c>
      <c r="Q360" t="s">
        <v>116</v>
      </c>
      <c r="R360" t="s">
        <v>117</v>
      </c>
      <c r="U360" t="b">
        <v>1</v>
      </c>
      <c r="V360" t="b">
        <v>1</v>
      </c>
      <c r="W360" t="b">
        <v>1</v>
      </c>
      <c r="Y360" s="38"/>
      <c r="AS360"/>
    </row>
    <row r="361" spans="1:45" x14ac:dyDescent="0.3">
      <c r="A361">
        <v>211</v>
      </c>
      <c r="B361" t="s">
        <v>71</v>
      </c>
      <c r="E361" t="s">
        <v>597</v>
      </c>
      <c r="F361" t="s">
        <v>17</v>
      </c>
      <c r="G361" s="39">
        <v>45093.916666666664</v>
      </c>
      <c r="H361">
        <v>6</v>
      </c>
      <c r="I361">
        <v>2023</v>
      </c>
      <c r="J361" s="38"/>
      <c r="K361" t="s">
        <v>140</v>
      </c>
      <c r="L361" t="s">
        <v>141</v>
      </c>
      <c r="M361" t="s">
        <v>152</v>
      </c>
      <c r="O361"/>
      <c r="P361" t="s">
        <v>34</v>
      </c>
      <c r="Q361" t="s">
        <v>60</v>
      </c>
      <c r="R361" t="s">
        <v>7</v>
      </c>
      <c r="U361" t="b">
        <v>1</v>
      </c>
      <c r="V361" t="b">
        <v>1</v>
      </c>
      <c r="W361" t="b">
        <v>1</v>
      </c>
      <c r="Y361" s="38"/>
      <c r="AS361"/>
    </row>
    <row r="362" spans="1:45" x14ac:dyDescent="0.3">
      <c r="A362">
        <v>210</v>
      </c>
      <c r="B362" t="s">
        <v>71</v>
      </c>
      <c r="E362" t="s">
        <v>596</v>
      </c>
      <c r="F362" t="s">
        <v>17</v>
      </c>
      <c r="G362" s="39">
        <v>45112.916666666664</v>
      </c>
      <c r="H362">
        <v>7</v>
      </c>
      <c r="I362">
        <v>2023</v>
      </c>
      <c r="J362" s="38"/>
      <c r="K362" t="s">
        <v>33</v>
      </c>
      <c r="L362" t="s">
        <v>487</v>
      </c>
      <c r="M362" t="s">
        <v>88</v>
      </c>
      <c r="O362"/>
      <c r="P362" t="s">
        <v>83</v>
      </c>
      <c r="Q362" t="s">
        <v>481</v>
      </c>
      <c r="R362" t="s">
        <v>482</v>
      </c>
      <c r="U362" t="b">
        <v>1</v>
      </c>
      <c r="V362" t="b">
        <v>1</v>
      </c>
      <c r="W362" t="b">
        <v>1</v>
      </c>
      <c r="Y362" s="38"/>
      <c r="AS362"/>
    </row>
    <row r="363" spans="1:45" x14ac:dyDescent="0.3">
      <c r="A363">
        <v>209</v>
      </c>
      <c r="B363" t="s">
        <v>71</v>
      </c>
      <c r="E363" t="s">
        <v>595</v>
      </c>
      <c r="F363" t="s">
        <v>17</v>
      </c>
      <c r="G363" s="39">
        <v>45110.916666666664</v>
      </c>
      <c r="H363">
        <v>7</v>
      </c>
      <c r="I363">
        <v>2023</v>
      </c>
      <c r="J363" s="38"/>
      <c r="K363" t="s">
        <v>14</v>
      </c>
      <c r="L363" t="s">
        <v>99</v>
      </c>
      <c r="M363" t="s">
        <v>100</v>
      </c>
      <c r="O363"/>
      <c r="P363" t="s">
        <v>101</v>
      </c>
      <c r="Q363" t="s">
        <v>500</v>
      </c>
      <c r="R363" t="s">
        <v>501</v>
      </c>
      <c r="U363" t="b">
        <v>1</v>
      </c>
      <c r="V363" t="b">
        <v>1</v>
      </c>
      <c r="W363" t="b">
        <v>1</v>
      </c>
      <c r="Y363" s="38"/>
      <c r="AS363"/>
    </row>
    <row r="364" spans="1:45" x14ac:dyDescent="0.3">
      <c r="A364">
        <v>208</v>
      </c>
      <c r="B364" t="s">
        <v>71</v>
      </c>
      <c r="E364" t="s">
        <v>594</v>
      </c>
      <c r="F364" t="s">
        <v>17</v>
      </c>
      <c r="G364" s="39">
        <v>45110.916666666664</v>
      </c>
      <c r="H364">
        <v>7</v>
      </c>
      <c r="I364">
        <v>2023</v>
      </c>
      <c r="J364" s="38"/>
      <c r="K364" t="s">
        <v>14</v>
      </c>
      <c r="L364" t="s">
        <v>99</v>
      </c>
      <c r="M364" t="s">
        <v>14</v>
      </c>
      <c r="O364"/>
      <c r="P364" t="s">
        <v>83</v>
      </c>
      <c r="Q364" t="s">
        <v>493</v>
      </c>
      <c r="R364" t="s">
        <v>494</v>
      </c>
      <c r="U364" t="b">
        <v>1</v>
      </c>
      <c r="V364" t="b">
        <v>1</v>
      </c>
      <c r="W364" t="b">
        <v>1</v>
      </c>
      <c r="Y364" s="38"/>
      <c r="AS364"/>
    </row>
    <row r="365" spans="1:45" x14ac:dyDescent="0.3">
      <c r="A365">
        <v>207</v>
      </c>
      <c r="B365" t="s">
        <v>71</v>
      </c>
      <c r="E365" t="s">
        <v>593</v>
      </c>
      <c r="F365" t="s">
        <v>17</v>
      </c>
      <c r="G365" s="39">
        <v>45110.916666666664</v>
      </c>
      <c r="H365">
        <v>7</v>
      </c>
      <c r="I365">
        <v>2023</v>
      </c>
      <c r="J365" s="38"/>
      <c r="K365" t="s">
        <v>14</v>
      </c>
      <c r="L365" t="s">
        <v>99</v>
      </c>
      <c r="M365" t="s">
        <v>112</v>
      </c>
      <c r="O365"/>
      <c r="P365" t="s">
        <v>34</v>
      </c>
      <c r="Q365" t="s">
        <v>135</v>
      </c>
      <c r="R365" t="s">
        <v>31</v>
      </c>
      <c r="U365" t="b">
        <v>1</v>
      </c>
      <c r="V365" t="b">
        <v>1</v>
      </c>
      <c r="W365" t="b">
        <v>1</v>
      </c>
      <c r="Y365" s="38"/>
      <c r="AS365"/>
    </row>
    <row r="366" spans="1:45" x14ac:dyDescent="0.3">
      <c r="A366">
        <v>206</v>
      </c>
      <c r="B366" t="s">
        <v>71</v>
      </c>
      <c r="E366" t="s">
        <v>592</v>
      </c>
      <c r="F366" t="s">
        <v>17</v>
      </c>
      <c r="G366" s="39">
        <v>44987.958333333336</v>
      </c>
      <c r="H366">
        <v>3</v>
      </c>
      <c r="I366">
        <v>2023</v>
      </c>
      <c r="J366" s="38"/>
      <c r="K366" t="s">
        <v>125</v>
      </c>
      <c r="L366" t="s">
        <v>126</v>
      </c>
      <c r="M366" t="s">
        <v>123</v>
      </c>
      <c r="O366"/>
      <c r="P366" t="s">
        <v>101</v>
      </c>
      <c r="Q366" t="s">
        <v>139</v>
      </c>
      <c r="R366" t="s">
        <v>117</v>
      </c>
      <c r="U366" t="b">
        <v>1</v>
      </c>
      <c r="V366" t="b">
        <v>1</v>
      </c>
      <c r="W366" t="b">
        <v>1</v>
      </c>
      <c r="Y366" s="38"/>
      <c r="AS366"/>
    </row>
    <row r="367" spans="1:45" x14ac:dyDescent="0.3">
      <c r="A367">
        <v>205</v>
      </c>
      <c r="B367" t="s">
        <v>77</v>
      </c>
      <c r="E367" t="s">
        <v>591</v>
      </c>
      <c r="F367" t="s">
        <v>17</v>
      </c>
      <c r="G367" s="39">
        <v>45132.916666666664</v>
      </c>
      <c r="H367">
        <v>7</v>
      </c>
      <c r="I367">
        <v>2023</v>
      </c>
      <c r="J367" s="38"/>
      <c r="K367" t="s">
        <v>102</v>
      </c>
      <c r="L367" t="s">
        <v>103</v>
      </c>
      <c r="M367" t="s">
        <v>104</v>
      </c>
      <c r="O367"/>
      <c r="P367" t="s">
        <v>153</v>
      </c>
      <c r="Q367" t="s">
        <v>105</v>
      </c>
      <c r="R367" t="s">
        <v>87</v>
      </c>
      <c r="U367" t="b">
        <v>1</v>
      </c>
      <c r="V367" t="b">
        <v>1</v>
      </c>
      <c r="W367" t="b">
        <v>1</v>
      </c>
      <c r="Y367" s="38"/>
      <c r="AS367"/>
    </row>
    <row r="368" spans="1:45" x14ac:dyDescent="0.3">
      <c r="A368">
        <v>204</v>
      </c>
      <c r="B368" t="s">
        <v>71</v>
      </c>
      <c r="E368" t="s">
        <v>590</v>
      </c>
      <c r="F368" t="s">
        <v>17</v>
      </c>
      <c r="G368" s="39">
        <v>45137.916666666664</v>
      </c>
      <c r="H368">
        <v>7</v>
      </c>
      <c r="I368">
        <v>2023</v>
      </c>
      <c r="J368" s="38"/>
      <c r="K368" t="s">
        <v>110</v>
      </c>
      <c r="L368" t="s">
        <v>401</v>
      </c>
      <c r="M368" t="s">
        <v>112</v>
      </c>
      <c r="O368"/>
      <c r="P368" t="s">
        <v>83</v>
      </c>
      <c r="Q368" t="s">
        <v>585</v>
      </c>
      <c r="R368" t="s">
        <v>403</v>
      </c>
      <c r="U368" t="b">
        <v>1</v>
      </c>
      <c r="V368" t="b">
        <v>1</v>
      </c>
      <c r="W368" t="b">
        <v>1</v>
      </c>
      <c r="Y368" s="38"/>
      <c r="AS368"/>
    </row>
    <row r="369" spans="1:45" x14ac:dyDescent="0.3">
      <c r="A369">
        <v>203</v>
      </c>
      <c r="B369" t="s">
        <v>71</v>
      </c>
      <c r="E369" t="s">
        <v>589</v>
      </c>
      <c r="F369" t="s">
        <v>17</v>
      </c>
      <c r="G369" s="39">
        <v>45138.916666666664</v>
      </c>
      <c r="H369">
        <v>8</v>
      </c>
      <c r="I369">
        <v>2023</v>
      </c>
      <c r="J369" s="38"/>
      <c r="K369" t="s">
        <v>110</v>
      </c>
      <c r="L369" t="s">
        <v>401</v>
      </c>
      <c r="M369" t="s">
        <v>112</v>
      </c>
      <c r="O369"/>
      <c r="P369" t="s">
        <v>83</v>
      </c>
      <c r="Q369" t="s">
        <v>585</v>
      </c>
      <c r="R369" t="s">
        <v>403</v>
      </c>
      <c r="U369" t="b">
        <v>1</v>
      </c>
      <c r="V369" t="b">
        <v>1</v>
      </c>
      <c r="W369" t="b">
        <v>1</v>
      </c>
      <c r="Y369" s="38"/>
      <c r="AS369"/>
    </row>
    <row r="370" spans="1:45" x14ac:dyDescent="0.3">
      <c r="A370">
        <v>202</v>
      </c>
      <c r="B370" t="s">
        <v>71</v>
      </c>
      <c r="E370" t="s">
        <v>588</v>
      </c>
      <c r="F370" t="s">
        <v>17</v>
      </c>
      <c r="G370" s="39">
        <v>45138.916666666664</v>
      </c>
      <c r="H370">
        <v>8</v>
      </c>
      <c r="I370">
        <v>2023</v>
      </c>
      <c r="J370" s="38"/>
      <c r="K370" t="s">
        <v>84</v>
      </c>
      <c r="L370" t="s">
        <v>369</v>
      </c>
      <c r="M370" t="s">
        <v>85</v>
      </c>
      <c r="O370"/>
      <c r="P370" t="s">
        <v>83</v>
      </c>
      <c r="Q370" t="s">
        <v>86</v>
      </c>
      <c r="R370" t="s">
        <v>87</v>
      </c>
      <c r="U370" t="b">
        <v>1</v>
      </c>
      <c r="V370" t="b">
        <v>1</v>
      </c>
      <c r="W370" t="b">
        <v>1</v>
      </c>
      <c r="Y370" s="38"/>
      <c r="AS370"/>
    </row>
    <row r="371" spans="1:45" x14ac:dyDescent="0.3">
      <c r="A371">
        <v>201</v>
      </c>
      <c r="B371" t="s">
        <v>71</v>
      </c>
      <c r="E371" t="s">
        <v>587</v>
      </c>
      <c r="F371" t="s">
        <v>17</v>
      </c>
      <c r="G371" s="39">
        <v>45138.916666666664</v>
      </c>
      <c r="H371">
        <v>8</v>
      </c>
      <c r="I371">
        <v>2023</v>
      </c>
      <c r="J371" s="38"/>
      <c r="K371" t="s">
        <v>148</v>
      </c>
      <c r="L371" t="s">
        <v>375</v>
      </c>
      <c r="M371" t="s">
        <v>154</v>
      </c>
      <c r="O371"/>
      <c r="P371" t="s">
        <v>83</v>
      </c>
      <c r="Q371" t="s">
        <v>96</v>
      </c>
      <c r="R371" t="s">
        <v>97</v>
      </c>
      <c r="U371" t="b">
        <v>1</v>
      </c>
      <c r="V371" t="b">
        <v>1</v>
      </c>
      <c r="W371" t="b">
        <v>1</v>
      </c>
      <c r="Y371" s="38"/>
      <c r="AS371"/>
    </row>
    <row r="372" spans="1:45" x14ac:dyDescent="0.3">
      <c r="A372">
        <v>200</v>
      </c>
      <c r="B372" t="s">
        <v>77</v>
      </c>
      <c r="E372" t="s">
        <v>586</v>
      </c>
      <c r="F372" t="s">
        <v>17</v>
      </c>
      <c r="G372" s="39">
        <v>45138.916666666664</v>
      </c>
      <c r="H372">
        <v>8</v>
      </c>
      <c r="I372">
        <v>2023</v>
      </c>
      <c r="J372" s="38"/>
      <c r="K372" t="s">
        <v>110</v>
      </c>
      <c r="L372" t="s">
        <v>401</v>
      </c>
      <c r="M372" t="s">
        <v>112</v>
      </c>
      <c r="O372"/>
      <c r="P372" t="s">
        <v>153</v>
      </c>
      <c r="Q372" t="s">
        <v>585</v>
      </c>
      <c r="R372" t="s">
        <v>403</v>
      </c>
      <c r="U372" t="b">
        <v>1</v>
      </c>
      <c r="V372" t="b">
        <v>1</v>
      </c>
      <c r="W372" t="b">
        <v>1</v>
      </c>
      <c r="Y372" s="38"/>
      <c r="AS372"/>
    </row>
    <row r="373" spans="1:45" x14ac:dyDescent="0.3">
      <c r="A373">
        <v>199</v>
      </c>
      <c r="B373" t="s">
        <v>156</v>
      </c>
      <c r="E373" t="s">
        <v>584</v>
      </c>
      <c r="F373" t="s">
        <v>17</v>
      </c>
      <c r="G373" s="39">
        <v>45139.916666666664</v>
      </c>
      <c r="H373">
        <v>8</v>
      </c>
      <c r="I373">
        <v>2023</v>
      </c>
      <c r="J373" s="38"/>
      <c r="K373" t="s">
        <v>110</v>
      </c>
      <c r="L373" t="s">
        <v>401</v>
      </c>
      <c r="M373" t="s">
        <v>112</v>
      </c>
      <c r="O373"/>
      <c r="P373" t="s">
        <v>155</v>
      </c>
      <c r="Q373" t="s">
        <v>585</v>
      </c>
      <c r="R373" t="s">
        <v>403</v>
      </c>
      <c r="U373" t="b">
        <v>1</v>
      </c>
      <c r="V373" t="b">
        <v>1</v>
      </c>
      <c r="W373" t="b">
        <v>1</v>
      </c>
      <c r="Y373" s="38"/>
      <c r="AS373"/>
    </row>
    <row r="374" spans="1:45" x14ac:dyDescent="0.3">
      <c r="A374">
        <v>198</v>
      </c>
      <c r="B374" t="s">
        <v>156</v>
      </c>
      <c r="E374" t="s">
        <v>583</v>
      </c>
      <c r="F374" t="s">
        <v>17</v>
      </c>
      <c r="G374" s="39">
        <v>45139.916666666664</v>
      </c>
      <c r="H374">
        <v>8</v>
      </c>
      <c r="I374">
        <v>2023</v>
      </c>
      <c r="J374" s="38"/>
      <c r="K374" t="s">
        <v>102</v>
      </c>
      <c r="L374" t="s">
        <v>103</v>
      </c>
      <c r="M374" t="s">
        <v>104</v>
      </c>
      <c r="O374"/>
      <c r="P374" t="s">
        <v>155</v>
      </c>
      <c r="Q374" t="s">
        <v>105</v>
      </c>
      <c r="R374" t="s">
        <v>87</v>
      </c>
      <c r="U374" t="b">
        <v>1</v>
      </c>
      <c r="V374" t="b">
        <v>1</v>
      </c>
      <c r="W374" t="b">
        <v>1</v>
      </c>
      <c r="Y374" s="38"/>
      <c r="AS374"/>
    </row>
    <row r="375" spans="1:45" x14ac:dyDescent="0.3">
      <c r="A375">
        <v>197</v>
      </c>
      <c r="B375" t="s">
        <v>71</v>
      </c>
      <c r="E375" t="s">
        <v>582</v>
      </c>
      <c r="F375" t="s">
        <v>17</v>
      </c>
      <c r="G375" s="39">
        <v>45139.916666666664</v>
      </c>
      <c r="H375">
        <v>8</v>
      </c>
      <c r="I375">
        <v>2023</v>
      </c>
      <c r="J375" s="38"/>
      <c r="K375" t="s">
        <v>102</v>
      </c>
      <c r="L375" t="s">
        <v>103</v>
      </c>
      <c r="M375" t="s">
        <v>104</v>
      </c>
      <c r="O375"/>
      <c r="P375" t="s">
        <v>83</v>
      </c>
      <c r="Q375" t="s">
        <v>105</v>
      </c>
      <c r="R375" t="s">
        <v>87</v>
      </c>
      <c r="U375" t="b">
        <v>1</v>
      </c>
      <c r="V375" t="b">
        <v>1</v>
      </c>
      <c r="W375" t="b">
        <v>1</v>
      </c>
      <c r="Y375" s="38"/>
      <c r="AS375"/>
    </row>
    <row r="376" spans="1:45" x14ac:dyDescent="0.3">
      <c r="A376">
        <v>196</v>
      </c>
      <c r="B376" t="s">
        <v>158</v>
      </c>
      <c r="E376" t="s">
        <v>581</v>
      </c>
      <c r="F376" t="s">
        <v>17</v>
      </c>
      <c r="G376" s="39">
        <v>45139.916666666664</v>
      </c>
      <c r="H376">
        <v>8</v>
      </c>
      <c r="I376">
        <v>2023</v>
      </c>
      <c r="J376" s="38"/>
      <c r="K376" t="s">
        <v>102</v>
      </c>
      <c r="L376" t="s">
        <v>103</v>
      </c>
      <c r="M376" t="s">
        <v>104</v>
      </c>
      <c r="O376"/>
      <c r="P376" t="s">
        <v>157</v>
      </c>
      <c r="Q376" t="s">
        <v>105</v>
      </c>
      <c r="R376" t="s">
        <v>87</v>
      </c>
      <c r="U376" t="b">
        <v>0</v>
      </c>
      <c r="V376" t="b">
        <v>1</v>
      </c>
      <c r="W376" t="b">
        <v>1</v>
      </c>
      <c r="Y376" s="38"/>
      <c r="AS376"/>
    </row>
    <row r="377" spans="1:45" x14ac:dyDescent="0.3">
      <c r="A377">
        <v>195</v>
      </c>
      <c r="B377" t="s">
        <v>71</v>
      </c>
      <c r="E377" t="s">
        <v>579</v>
      </c>
      <c r="F377" t="s">
        <v>17</v>
      </c>
      <c r="G377" s="39">
        <v>45071.916666666664</v>
      </c>
      <c r="H377">
        <v>5</v>
      </c>
      <c r="I377">
        <v>2023</v>
      </c>
      <c r="J377" s="38"/>
      <c r="K377" t="s">
        <v>125</v>
      </c>
      <c r="L377" t="s">
        <v>126</v>
      </c>
      <c r="M377" t="s">
        <v>378</v>
      </c>
      <c r="N377" t="s">
        <v>159</v>
      </c>
      <c r="O377"/>
      <c r="P377" t="s">
        <v>83</v>
      </c>
      <c r="Q377" t="s">
        <v>580</v>
      </c>
      <c r="R377" t="s">
        <v>380</v>
      </c>
      <c r="U377" t="b">
        <v>1</v>
      </c>
      <c r="V377" t="b">
        <v>1</v>
      </c>
      <c r="W377" t="b">
        <v>1</v>
      </c>
      <c r="Y377" s="38"/>
      <c r="AS377"/>
    </row>
    <row r="378" spans="1:45" x14ac:dyDescent="0.3">
      <c r="A378">
        <v>194</v>
      </c>
      <c r="B378" t="s">
        <v>71</v>
      </c>
      <c r="E378" t="s">
        <v>578</v>
      </c>
      <c r="F378" t="s">
        <v>17</v>
      </c>
      <c r="G378" s="39">
        <v>45045.916666666664</v>
      </c>
      <c r="H378">
        <v>4</v>
      </c>
      <c r="I378">
        <v>2023</v>
      </c>
      <c r="J378" s="38"/>
      <c r="K378" t="s">
        <v>125</v>
      </c>
      <c r="L378" t="s">
        <v>126</v>
      </c>
      <c r="M378" t="s">
        <v>13</v>
      </c>
      <c r="N378" t="s">
        <v>165</v>
      </c>
      <c r="O378"/>
      <c r="P378" t="s">
        <v>101</v>
      </c>
      <c r="Q378" t="s">
        <v>164</v>
      </c>
      <c r="R378" t="s">
        <v>132</v>
      </c>
      <c r="U378" t="b">
        <v>1</v>
      </c>
      <c r="V378" t="b">
        <v>1</v>
      </c>
      <c r="W378" t="b">
        <v>1</v>
      </c>
      <c r="Y378" s="38"/>
      <c r="AS378"/>
    </row>
    <row r="379" spans="1:45" x14ac:dyDescent="0.3">
      <c r="A379">
        <v>193</v>
      </c>
      <c r="B379" t="s">
        <v>71</v>
      </c>
      <c r="E379" t="s">
        <v>574</v>
      </c>
      <c r="F379" t="s">
        <v>17</v>
      </c>
      <c r="G379" s="39">
        <v>45063.916666666664</v>
      </c>
      <c r="H379">
        <v>5</v>
      </c>
      <c r="I379">
        <v>2023</v>
      </c>
      <c r="J379" s="38"/>
      <c r="K379" t="s">
        <v>146</v>
      </c>
      <c r="L379" t="s">
        <v>575</v>
      </c>
      <c r="M379" t="s">
        <v>14</v>
      </c>
      <c r="N379" t="s">
        <v>72</v>
      </c>
      <c r="O379"/>
      <c r="P379" t="s">
        <v>34</v>
      </c>
      <c r="Q379" t="s">
        <v>577</v>
      </c>
      <c r="R379" t="s">
        <v>12</v>
      </c>
      <c r="U379" t="b">
        <v>1</v>
      </c>
      <c r="V379" t="b">
        <v>1</v>
      </c>
      <c r="W379" t="b">
        <v>1</v>
      </c>
      <c r="Y379" s="38"/>
      <c r="AS379"/>
    </row>
    <row r="380" spans="1:45" x14ac:dyDescent="0.3">
      <c r="A380">
        <v>192</v>
      </c>
      <c r="B380" t="s">
        <v>71</v>
      </c>
      <c r="E380" t="s">
        <v>573</v>
      </c>
      <c r="F380" t="s">
        <v>17</v>
      </c>
      <c r="G380" s="39">
        <v>45071.916666666664</v>
      </c>
      <c r="H380">
        <v>5</v>
      </c>
      <c r="I380">
        <v>2023</v>
      </c>
      <c r="J380" s="38"/>
      <c r="K380" t="s">
        <v>125</v>
      </c>
      <c r="L380" t="s">
        <v>126</v>
      </c>
      <c r="M380" t="s">
        <v>13</v>
      </c>
      <c r="N380" t="s">
        <v>165</v>
      </c>
      <c r="O380"/>
      <c r="P380" t="s">
        <v>101</v>
      </c>
      <c r="Q380" t="s">
        <v>164</v>
      </c>
      <c r="R380" t="s">
        <v>132</v>
      </c>
      <c r="U380" t="b">
        <v>1</v>
      </c>
      <c r="V380" t="b">
        <v>1</v>
      </c>
      <c r="W380" t="b">
        <v>1</v>
      </c>
      <c r="Y380" s="38"/>
      <c r="AS380"/>
    </row>
    <row r="381" spans="1:45" x14ac:dyDescent="0.3">
      <c r="A381">
        <v>191</v>
      </c>
      <c r="B381" t="s">
        <v>71</v>
      </c>
      <c r="E381" t="s">
        <v>572</v>
      </c>
      <c r="F381" t="s">
        <v>17</v>
      </c>
      <c r="G381" s="39">
        <v>44996.958333333336</v>
      </c>
      <c r="H381">
        <v>3</v>
      </c>
      <c r="I381">
        <v>2023</v>
      </c>
      <c r="J381" s="38"/>
      <c r="K381" t="s">
        <v>102</v>
      </c>
      <c r="L381" t="s">
        <v>103</v>
      </c>
      <c r="M381" t="s">
        <v>104</v>
      </c>
      <c r="N381" t="s">
        <v>159</v>
      </c>
      <c r="O381"/>
      <c r="P381" t="s">
        <v>83</v>
      </c>
      <c r="Q381" t="s">
        <v>105</v>
      </c>
      <c r="R381" t="s">
        <v>87</v>
      </c>
      <c r="S381" t="s">
        <v>32</v>
      </c>
      <c r="U381" t="b">
        <v>1</v>
      </c>
      <c r="V381" t="b">
        <v>1</v>
      </c>
      <c r="W381" t="b">
        <v>0</v>
      </c>
      <c r="Y381" s="38"/>
      <c r="AS381"/>
    </row>
    <row r="382" spans="1:45" x14ac:dyDescent="0.3">
      <c r="A382">
        <v>190</v>
      </c>
      <c r="B382" t="s">
        <v>71</v>
      </c>
      <c r="E382" t="s">
        <v>571</v>
      </c>
      <c r="F382" t="s">
        <v>17</v>
      </c>
      <c r="G382" s="39">
        <v>45057.916666666664</v>
      </c>
      <c r="H382">
        <v>5</v>
      </c>
      <c r="I382">
        <v>2023</v>
      </c>
      <c r="J382" s="38"/>
      <c r="K382" t="s">
        <v>166</v>
      </c>
      <c r="L382" t="s">
        <v>558</v>
      </c>
      <c r="M382" t="s">
        <v>14</v>
      </c>
      <c r="N382" t="s">
        <v>72</v>
      </c>
      <c r="O382"/>
      <c r="P382" t="s">
        <v>34</v>
      </c>
      <c r="Q382" t="s">
        <v>167</v>
      </c>
      <c r="R382" t="s">
        <v>168</v>
      </c>
      <c r="S382" t="s">
        <v>32</v>
      </c>
      <c r="U382" t="b">
        <v>1</v>
      </c>
      <c r="V382" t="b">
        <v>1</v>
      </c>
      <c r="W382" t="b">
        <v>0</v>
      </c>
      <c r="Y382" s="38"/>
      <c r="AS382"/>
    </row>
    <row r="383" spans="1:45" x14ac:dyDescent="0.3">
      <c r="A383">
        <v>189</v>
      </c>
      <c r="B383" t="s">
        <v>71</v>
      </c>
      <c r="E383" t="s">
        <v>570</v>
      </c>
      <c r="F383" t="s">
        <v>17</v>
      </c>
      <c r="G383" s="39">
        <v>44996.958333333336</v>
      </c>
      <c r="H383">
        <v>3</v>
      </c>
      <c r="I383">
        <v>2023</v>
      </c>
      <c r="J383" s="38"/>
      <c r="K383" t="s">
        <v>125</v>
      </c>
      <c r="L383" t="s">
        <v>126</v>
      </c>
      <c r="M383" t="s">
        <v>355</v>
      </c>
      <c r="N383" t="s">
        <v>159</v>
      </c>
      <c r="O383"/>
      <c r="P383" t="s">
        <v>83</v>
      </c>
      <c r="Q383" t="s">
        <v>356</v>
      </c>
      <c r="R383" t="s">
        <v>12</v>
      </c>
      <c r="S383" t="s">
        <v>78</v>
      </c>
      <c r="U383" t="b">
        <v>0</v>
      </c>
      <c r="V383" t="b">
        <v>1</v>
      </c>
      <c r="W383" t="b">
        <v>0</v>
      </c>
      <c r="Y383" s="38"/>
      <c r="AS383"/>
    </row>
    <row r="384" spans="1:45" x14ac:dyDescent="0.3">
      <c r="A384">
        <v>188</v>
      </c>
      <c r="B384" t="s">
        <v>71</v>
      </c>
      <c r="E384" t="s">
        <v>569</v>
      </c>
      <c r="F384" t="s">
        <v>17</v>
      </c>
      <c r="G384" s="39">
        <v>45144.916666666664</v>
      </c>
      <c r="H384">
        <v>8</v>
      </c>
      <c r="I384">
        <v>2023</v>
      </c>
      <c r="J384" s="38"/>
      <c r="K384" t="s">
        <v>127</v>
      </c>
      <c r="L384" t="s">
        <v>150</v>
      </c>
      <c r="M384" t="s">
        <v>128</v>
      </c>
      <c r="N384" t="s">
        <v>72</v>
      </c>
      <c r="O384"/>
      <c r="P384" t="s">
        <v>34</v>
      </c>
      <c r="Q384" t="s">
        <v>129</v>
      </c>
      <c r="R384" t="s">
        <v>12</v>
      </c>
      <c r="S384" t="s">
        <v>32</v>
      </c>
      <c r="U384" t="b">
        <v>1</v>
      </c>
      <c r="V384" t="b">
        <v>1</v>
      </c>
      <c r="W384" t="b">
        <v>0</v>
      </c>
      <c r="Y384" s="38"/>
      <c r="AS384"/>
    </row>
    <row r="385" spans="1:45" x14ac:dyDescent="0.3">
      <c r="A385">
        <v>187</v>
      </c>
      <c r="B385" t="s">
        <v>71</v>
      </c>
      <c r="E385" t="s">
        <v>568</v>
      </c>
      <c r="F385" t="s">
        <v>17</v>
      </c>
      <c r="G385" s="39">
        <v>45144.916666666664</v>
      </c>
      <c r="H385">
        <v>8</v>
      </c>
      <c r="I385">
        <v>2023</v>
      </c>
      <c r="J385" s="38"/>
      <c r="K385" t="s">
        <v>166</v>
      </c>
      <c r="L385" t="s">
        <v>558</v>
      </c>
      <c r="M385" t="s">
        <v>14</v>
      </c>
      <c r="N385" t="s">
        <v>72</v>
      </c>
      <c r="O385"/>
      <c r="P385" t="s">
        <v>34</v>
      </c>
      <c r="Q385" t="s">
        <v>167</v>
      </c>
      <c r="R385" t="s">
        <v>168</v>
      </c>
      <c r="S385" t="s">
        <v>33</v>
      </c>
      <c r="U385" t="b">
        <v>1</v>
      </c>
      <c r="V385" t="b">
        <v>1</v>
      </c>
      <c r="W385" t="b">
        <v>0</v>
      </c>
      <c r="Y385" s="38"/>
      <c r="AS385"/>
    </row>
    <row r="386" spans="1:45" x14ac:dyDescent="0.3">
      <c r="A386">
        <v>186</v>
      </c>
      <c r="B386" t="s">
        <v>156</v>
      </c>
      <c r="E386" t="s">
        <v>567</v>
      </c>
      <c r="F386" t="s">
        <v>17</v>
      </c>
      <c r="G386" s="39">
        <v>45084.916666666664</v>
      </c>
      <c r="H386">
        <v>6</v>
      </c>
      <c r="I386">
        <v>2023</v>
      </c>
      <c r="J386" s="38"/>
      <c r="K386" t="s">
        <v>166</v>
      </c>
      <c r="L386" t="s">
        <v>558</v>
      </c>
      <c r="M386" t="s">
        <v>14</v>
      </c>
      <c r="N386" t="s">
        <v>72</v>
      </c>
      <c r="O386"/>
      <c r="P386" t="s">
        <v>169</v>
      </c>
      <c r="Q386" t="s">
        <v>167</v>
      </c>
      <c r="R386" t="s">
        <v>168</v>
      </c>
      <c r="S386" t="s">
        <v>78</v>
      </c>
      <c r="U386" t="b">
        <v>0</v>
      </c>
      <c r="V386" t="b">
        <v>1</v>
      </c>
      <c r="W386" t="b">
        <v>0</v>
      </c>
      <c r="Y386" s="38"/>
      <c r="AS386"/>
    </row>
    <row r="387" spans="1:45" x14ac:dyDescent="0.3">
      <c r="A387">
        <v>185</v>
      </c>
      <c r="B387" t="s">
        <v>158</v>
      </c>
      <c r="E387" t="s">
        <v>566</v>
      </c>
      <c r="F387" t="s">
        <v>17</v>
      </c>
      <c r="G387" s="39">
        <v>45018.916666666664</v>
      </c>
      <c r="H387">
        <v>4</v>
      </c>
      <c r="I387">
        <v>2023</v>
      </c>
      <c r="J387" s="38"/>
      <c r="K387" t="s">
        <v>166</v>
      </c>
      <c r="L387" t="s">
        <v>558</v>
      </c>
      <c r="M387" t="s">
        <v>14</v>
      </c>
      <c r="N387" t="s">
        <v>72</v>
      </c>
      <c r="O387"/>
      <c r="P387" t="s">
        <v>157</v>
      </c>
      <c r="Q387" t="s">
        <v>167</v>
      </c>
      <c r="R387" t="s">
        <v>168</v>
      </c>
      <c r="S387" t="s">
        <v>32</v>
      </c>
      <c r="U387" t="b">
        <v>0</v>
      </c>
      <c r="V387" t="b">
        <v>1</v>
      </c>
      <c r="W387" t="b">
        <v>0</v>
      </c>
      <c r="Y387" s="38"/>
      <c r="AS387"/>
    </row>
    <row r="388" spans="1:45" x14ac:dyDescent="0.3">
      <c r="A388">
        <v>184</v>
      </c>
      <c r="B388" t="s">
        <v>71</v>
      </c>
      <c r="E388" t="s">
        <v>565</v>
      </c>
      <c r="F388" t="s">
        <v>17</v>
      </c>
      <c r="G388" s="39">
        <v>45144.916666666664</v>
      </c>
      <c r="H388">
        <v>8</v>
      </c>
      <c r="I388">
        <v>2023</v>
      </c>
      <c r="J388" s="38"/>
      <c r="K388" t="s">
        <v>125</v>
      </c>
      <c r="L388" t="s">
        <v>126</v>
      </c>
      <c r="M388" t="s">
        <v>378</v>
      </c>
      <c r="N388" t="s">
        <v>159</v>
      </c>
      <c r="O388"/>
      <c r="P388" t="s">
        <v>83</v>
      </c>
      <c r="Q388" t="s">
        <v>379</v>
      </c>
      <c r="R388" t="s">
        <v>380</v>
      </c>
      <c r="S388" t="s">
        <v>79</v>
      </c>
      <c r="U388" t="b">
        <v>0</v>
      </c>
      <c r="V388" t="b">
        <v>1</v>
      </c>
      <c r="W388" t="b">
        <v>0</v>
      </c>
      <c r="Y388" s="38"/>
      <c r="AS388"/>
    </row>
    <row r="389" spans="1:45" x14ac:dyDescent="0.3">
      <c r="A389">
        <v>183</v>
      </c>
      <c r="B389" t="s">
        <v>71</v>
      </c>
      <c r="E389" t="s">
        <v>564</v>
      </c>
      <c r="F389" t="s">
        <v>17</v>
      </c>
      <c r="G389" s="39">
        <v>45144.916666666664</v>
      </c>
      <c r="H389">
        <v>8</v>
      </c>
      <c r="I389">
        <v>2023</v>
      </c>
      <c r="J389" s="38"/>
      <c r="K389" t="s">
        <v>125</v>
      </c>
      <c r="L389" t="s">
        <v>126</v>
      </c>
      <c r="M389" t="s">
        <v>355</v>
      </c>
      <c r="N389" t="s">
        <v>159</v>
      </c>
      <c r="O389"/>
      <c r="P389" t="s">
        <v>83</v>
      </c>
      <c r="Q389" t="s">
        <v>356</v>
      </c>
      <c r="R389" t="s">
        <v>12</v>
      </c>
      <c r="S389" t="s">
        <v>32</v>
      </c>
      <c r="U389" t="b">
        <v>1</v>
      </c>
      <c r="V389" t="b">
        <v>1</v>
      </c>
      <c r="W389" t="b">
        <v>0</v>
      </c>
      <c r="Y389" s="38"/>
      <c r="AS389"/>
    </row>
    <row r="390" spans="1:45" x14ac:dyDescent="0.3">
      <c r="A390">
        <v>182</v>
      </c>
      <c r="B390" t="s">
        <v>156</v>
      </c>
      <c r="E390" t="s">
        <v>563</v>
      </c>
      <c r="F390" t="s">
        <v>17</v>
      </c>
      <c r="G390" s="39">
        <v>45132.916666666664</v>
      </c>
      <c r="H390">
        <v>7</v>
      </c>
      <c r="I390">
        <v>2023</v>
      </c>
      <c r="J390" s="38"/>
      <c r="K390" t="s">
        <v>125</v>
      </c>
      <c r="L390" t="s">
        <v>126</v>
      </c>
      <c r="M390" t="s">
        <v>355</v>
      </c>
      <c r="N390" t="s">
        <v>159</v>
      </c>
      <c r="O390"/>
      <c r="P390" t="s">
        <v>155</v>
      </c>
      <c r="Q390" t="s">
        <v>356</v>
      </c>
      <c r="R390" t="s">
        <v>12</v>
      </c>
      <c r="S390" t="s">
        <v>32</v>
      </c>
      <c r="U390" t="b">
        <v>1</v>
      </c>
      <c r="V390" t="b">
        <v>1</v>
      </c>
      <c r="W390" t="b">
        <v>0</v>
      </c>
      <c r="Y390" s="38"/>
      <c r="AS390"/>
    </row>
    <row r="391" spans="1:45" x14ac:dyDescent="0.3">
      <c r="A391">
        <v>181</v>
      </c>
      <c r="B391" t="s">
        <v>171</v>
      </c>
      <c r="E391" t="s">
        <v>562</v>
      </c>
      <c r="F391" t="s">
        <v>17</v>
      </c>
      <c r="G391" s="39">
        <v>45132.916666666664</v>
      </c>
      <c r="H391">
        <v>7</v>
      </c>
      <c r="I391">
        <v>2023</v>
      </c>
      <c r="J391" s="38"/>
      <c r="K391" t="s">
        <v>125</v>
      </c>
      <c r="L391" t="s">
        <v>126</v>
      </c>
      <c r="M391" t="s">
        <v>355</v>
      </c>
      <c r="N391" t="s">
        <v>159</v>
      </c>
      <c r="O391"/>
      <c r="P391" t="s">
        <v>172</v>
      </c>
      <c r="Q391" t="s">
        <v>356</v>
      </c>
      <c r="R391" t="s">
        <v>12</v>
      </c>
      <c r="S391" t="s">
        <v>32</v>
      </c>
      <c r="U391" t="b">
        <v>0</v>
      </c>
      <c r="V391" t="b">
        <v>1</v>
      </c>
      <c r="W391" t="b">
        <v>0</v>
      </c>
      <c r="Y391" s="38"/>
      <c r="AS391"/>
    </row>
    <row r="392" spans="1:45" x14ac:dyDescent="0.3">
      <c r="A392">
        <v>180</v>
      </c>
      <c r="B392" t="s">
        <v>71</v>
      </c>
      <c r="E392" t="s">
        <v>561</v>
      </c>
      <c r="F392" t="s">
        <v>17</v>
      </c>
      <c r="G392" s="39">
        <v>45072.916666666664</v>
      </c>
      <c r="H392">
        <v>5</v>
      </c>
      <c r="I392">
        <v>2023</v>
      </c>
      <c r="J392" s="38"/>
      <c r="K392" t="s">
        <v>125</v>
      </c>
      <c r="L392" t="s">
        <v>126</v>
      </c>
      <c r="M392" t="s">
        <v>355</v>
      </c>
      <c r="N392" t="s">
        <v>159</v>
      </c>
      <c r="O392"/>
      <c r="P392" t="s">
        <v>83</v>
      </c>
      <c r="Q392" t="s">
        <v>356</v>
      </c>
      <c r="R392" t="s">
        <v>12</v>
      </c>
      <c r="S392" t="s">
        <v>32</v>
      </c>
      <c r="U392" t="b">
        <v>1</v>
      </c>
      <c r="V392" t="b">
        <v>1</v>
      </c>
      <c r="W392" t="b">
        <v>0</v>
      </c>
      <c r="Y392" s="38"/>
      <c r="AS392"/>
    </row>
    <row r="393" spans="1:45" x14ac:dyDescent="0.3">
      <c r="A393">
        <v>179</v>
      </c>
      <c r="B393" t="s">
        <v>71</v>
      </c>
      <c r="E393" t="s">
        <v>560</v>
      </c>
      <c r="F393" t="s">
        <v>17</v>
      </c>
      <c r="G393" s="39">
        <v>45132.916666666664</v>
      </c>
      <c r="H393">
        <v>7</v>
      </c>
      <c r="I393">
        <v>2023</v>
      </c>
      <c r="J393" s="38"/>
      <c r="K393" t="s">
        <v>125</v>
      </c>
      <c r="L393" t="s">
        <v>126</v>
      </c>
      <c r="M393" t="s">
        <v>13</v>
      </c>
      <c r="N393" t="s">
        <v>165</v>
      </c>
      <c r="O393"/>
      <c r="P393" t="s">
        <v>101</v>
      </c>
      <c r="Q393" t="s">
        <v>164</v>
      </c>
      <c r="R393" t="s">
        <v>132</v>
      </c>
      <c r="S393" t="s">
        <v>32</v>
      </c>
      <c r="U393" t="b">
        <v>1</v>
      </c>
      <c r="V393" t="b">
        <v>1</v>
      </c>
      <c r="W393" t="b">
        <v>0</v>
      </c>
      <c r="Y393" s="38"/>
      <c r="AS393"/>
    </row>
    <row r="394" spans="1:45" x14ac:dyDescent="0.3">
      <c r="A394">
        <v>178</v>
      </c>
      <c r="B394" t="s">
        <v>171</v>
      </c>
      <c r="E394" t="s">
        <v>559</v>
      </c>
      <c r="F394" t="s">
        <v>17</v>
      </c>
      <c r="G394" s="39">
        <v>45139.916666666664</v>
      </c>
      <c r="H394">
        <v>8</v>
      </c>
      <c r="I394">
        <v>2023</v>
      </c>
      <c r="J394" s="38"/>
      <c r="K394" t="s">
        <v>102</v>
      </c>
      <c r="L394" t="s">
        <v>103</v>
      </c>
      <c r="M394" t="s">
        <v>104</v>
      </c>
      <c r="N394" t="s">
        <v>159</v>
      </c>
      <c r="O394"/>
      <c r="P394" t="s">
        <v>172</v>
      </c>
      <c r="Q394" t="s">
        <v>105</v>
      </c>
      <c r="R394" t="s">
        <v>87</v>
      </c>
      <c r="S394" t="s">
        <v>32</v>
      </c>
      <c r="U394" t="b">
        <v>0</v>
      </c>
      <c r="V394" t="b">
        <v>1</v>
      </c>
      <c r="W394" t="b">
        <v>0</v>
      </c>
      <c r="Y394" s="38"/>
      <c r="AS394"/>
    </row>
    <row r="395" spans="1:45" x14ac:dyDescent="0.3">
      <c r="A395">
        <v>177</v>
      </c>
      <c r="B395" t="s">
        <v>71</v>
      </c>
      <c r="E395" t="s">
        <v>557</v>
      </c>
      <c r="F395" t="s">
        <v>17</v>
      </c>
      <c r="G395" s="39">
        <v>45144.916666666664</v>
      </c>
      <c r="H395">
        <v>8</v>
      </c>
      <c r="I395">
        <v>2023</v>
      </c>
      <c r="J395" s="38"/>
      <c r="K395" t="s">
        <v>166</v>
      </c>
      <c r="L395" t="s">
        <v>558</v>
      </c>
      <c r="M395" t="s">
        <v>14</v>
      </c>
      <c r="N395" t="s">
        <v>72</v>
      </c>
      <c r="O395"/>
      <c r="P395" t="s">
        <v>34</v>
      </c>
      <c r="Q395" t="s">
        <v>167</v>
      </c>
      <c r="R395" t="s">
        <v>168</v>
      </c>
      <c r="S395" t="s">
        <v>33</v>
      </c>
      <c r="U395" t="b">
        <v>1</v>
      </c>
      <c r="V395" t="b">
        <v>1</v>
      </c>
      <c r="W395" t="b">
        <v>0</v>
      </c>
      <c r="Y395" s="38"/>
      <c r="AS395"/>
    </row>
    <row r="396" spans="1:45" x14ac:dyDescent="0.3">
      <c r="A396">
        <v>176</v>
      </c>
      <c r="B396" t="s">
        <v>71</v>
      </c>
      <c r="E396" t="s">
        <v>556</v>
      </c>
      <c r="F396" t="s">
        <v>17</v>
      </c>
      <c r="G396" s="39">
        <v>45165.916666666664</v>
      </c>
      <c r="H396">
        <v>8</v>
      </c>
      <c r="I396">
        <v>2023</v>
      </c>
      <c r="J396" s="38"/>
      <c r="K396" t="s">
        <v>175</v>
      </c>
      <c r="L396" t="s">
        <v>176</v>
      </c>
      <c r="M396" t="s">
        <v>14</v>
      </c>
      <c r="N396" t="s">
        <v>177</v>
      </c>
      <c r="O396"/>
      <c r="P396" t="s">
        <v>107</v>
      </c>
      <c r="Q396" t="s">
        <v>145</v>
      </c>
      <c r="R396" t="s">
        <v>12</v>
      </c>
      <c r="S396" t="s">
        <v>32</v>
      </c>
      <c r="U396" t="b">
        <v>1</v>
      </c>
      <c r="V396" t="b">
        <v>1</v>
      </c>
      <c r="W396" t="b">
        <v>0</v>
      </c>
      <c r="Y396" s="38"/>
      <c r="AS396"/>
    </row>
    <row r="397" spans="1:45" x14ac:dyDescent="0.3">
      <c r="A397">
        <v>175</v>
      </c>
      <c r="B397" t="s">
        <v>158</v>
      </c>
      <c r="E397" t="s">
        <v>555</v>
      </c>
      <c r="F397" t="s">
        <v>17</v>
      </c>
      <c r="G397" s="39">
        <v>45138.916666666664</v>
      </c>
      <c r="H397">
        <v>8</v>
      </c>
      <c r="I397">
        <v>2023</v>
      </c>
      <c r="J397" s="38"/>
      <c r="K397" t="s">
        <v>178</v>
      </c>
      <c r="L397" t="s">
        <v>80</v>
      </c>
      <c r="M397" t="s">
        <v>14</v>
      </c>
      <c r="N397" t="s">
        <v>72</v>
      </c>
      <c r="O397"/>
      <c r="P397" t="s">
        <v>157</v>
      </c>
      <c r="Q397" t="s">
        <v>135</v>
      </c>
      <c r="R397" t="s">
        <v>31</v>
      </c>
      <c r="S397" t="s">
        <v>32</v>
      </c>
      <c r="U397" t="b">
        <v>0</v>
      </c>
      <c r="V397" t="b">
        <v>1</v>
      </c>
      <c r="W397" t="b">
        <v>0</v>
      </c>
      <c r="Y397" s="38"/>
      <c r="AS397"/>
    </row>
    <row r="398" spans="1:45" x14ac:dyDescent="0.3">
      <c r="A398">
        <v>174</v>
      </c>
      <c r="B398" t="s">
        <v>180</v>
      </c>
      <c r="E398" t="s">
        <v>554</v>
      </c>
      <c r="F398" t="s">
        <v>17</v>
      </c>
      <c r="G398" s="39">
        <v>45138.916666666664</v>
      </c>
      <c r="H398">
        <v>8</v>
      </c>
      <c r="I398">
        <v>2023</v>
      </c>
      <c r="J398" s="38"/>
      <c r="K398" t="s">
        <v>178</v>
      </c>
      <c r="L398" t="s">
        <v>80</v>
      </c>
      <c r="M398" t="s">
        <v>14</v>
      </c>
      <c r="N398" t="s">
        <v>72</v>
      </c>
      <c r="O398"/>
      <c r="P398" t="s">
        <v>179</v>
      </c>
      <c r="Q398" t="s">
        <v>135</v>
      </c>
      <c r="R398" t="s">
        <v>31</v>
      </c>
      <c r="S398" t="s">
        <v>32</v>
      </c>
      <c r="U398" t="b">
        <v>0</v>
      </c>
      <c r="V398" t="b">
        <v>1</v>
      </c>
      <c r="W398" t="b">
        <v>0</v>
      </c>
      <c r="Y398" s="38"/>
      <c r="AS398"/>
    </row>
    <row r="399" spans="1:45" x14ac:dyDescent="0.3">
      <c r="A399">
        <v>173</v>
      </c>
      <c r="B399" t="s">
        <v>71</v>
      </c>
      <c r="E399" t="s">
        <v>553</v>
      </c>
      <c r="F399" t="s">
        <v>17</v>
      </c>
      <c r="G399" s="39">
        <v>44957.958333333336</v>
      </c>
      <c r="H399">
        <v>2</v>
      </c>
      <c r="I399">
        <v>2023</v>
      </c>
      <c r="J399" s="38"/>
      <c r="K399" t="s">
        <v>125</v>
      </c>
      <c r="L399" t="s">
        <v>126</v>
      </c>
      <c r="M399" t="s">
        <v>123</v>
      </c>
      <c r="N399" t="s">
        <v>165</v>
      </c>
      <c r="O399"/>
      <c r="P399" t="s">
        <v>101</v>
      </c>
      <c r="Q399" t="s">
        <v>139</v>
      </c>
      <c r="R399" t="s">
        <v>117</v>
      </c>
      <c r="S399" t="s">
        <v>32</v>
      </c>
      <c r="U399" t="b">
        <v>1</v>
      </c>
      <c r="V399" t="b">
        <v>1</v>
      </c>
      <c r="W399" t="b">
        <v>0</v>
      </c>
      <c r="Y399" s="38"/>
      <c r="AS399"/>
    </row>
    <row r="400" spans="1:45" x14ac:dyDescent="0.3">
      <c r="A400">
        <v>172</v>
      </c>
      <c r="B400" t="s">
        <v>171</v>
      </c>
      <c r="E400" t="s">
        <v>552</v>
      </c>
      <c r="F400" t="s">
        <v>17</v>
      </c>
      <c r="G400" s="39">
        <v>45153.916666666664</v>
      </c>
      <c r="H400">
        <v>8</v>
      </c>
      <c r="I400">
        <v>2023</v>
      </c>
      <c r="J400" s="38"/>
      <c r="K400" t="s">
        <v>166</v>
      </c>
      <c r="L400" t="s">
        <v>182</v>
      </c>
      <c r="M400" t="s">
        <v>14</v>
      </c>
      <c r="N400" t="s">
        <v>72</v>
      </c>
      <c r="O400"/>
      <c r="P400" t="s">
        <v>170</v>
      </c>
      <c r="Q400" t="s">
        <v>167</v>
      </c>
      <c r="R400" t="s">
        <v>168</v>
      </c>
      <c r="S400" t="s">
        <v>32</v>
      </c>
      <c r="U400" t="b">
        <v>0</v>
      </c>
      <c r="V400" t="b">
        <v>1</v>
      </c>
      <c r="W400" t="b">
        <v>0</v>
      </c>
      <c r="Y400" s="38"/>
      <c r="AS400"/>
    </row>
    <row r="401" spans="1:45" x14ac:dyDescent="0.3">
      <c r="A401">
        <v>171</v>
      </c>
      <c r="B401" t="s">
        <v>71</v>
      </c>
      <c r="E401" t="s">
        <v>551</v>
      </c>
      <c r="F401" t="s">
        <v>17</v>
      </c>
      <c r="G401" s="39">
        <v>45139.916666666664</v>
      </c>
      <c r="H401">
        <v>8</v>
      </c>
      <c r="I401">
        <v>2023</v>
      </c>
      <c r="J401" s="38"/>
      <c r="K401" t="s">
        <v>178</v>
      </c>
      <c r="L401" t="s">
        <v>80</v>
      </c>
      <c r="M401" t="s">
        <v>14</v>
      </c>
      <c r="N401" t="s">
        <v>72</v>
      </c>
      <c r="O401"/>
      <c r="P401" t="s">
        <v>34</v>
      </c>
      <c r="Q401" t="s">
        <v>135</v>
      </c>
      <c r="R401" t="s">
        <v>31</v>
      </c>
      <c r="S401" t="s">
        <v>32</v>
      </c>
      <c r="U401" t="b">
        <v>1</v>
      </c>
      <c r="V401" t="b">
        <v>1</v>
      </c>
      <c r="W401" t="b">
        <v>0</v>
      </c>
      <c r="Y401" s="38"/>
      <c r="AS401"/>
    </row>
    <row r="402" spans="1:45" x14ac:dyDescent="0.3">
      <c r="A402">
        <v>170</v>
      </c>
      <c r="B402" t="s">
        <v>156</v>
      </c>
      <c r="E402" t="s">
        <v>550</v>
      </c>
      <c r="F402" t="s">
        <v>17</v>
      </c>
      <c r="G402" s="39">
        <v>45164.916666666664</v>
      </c>
      <c r="H402">
        <v>8</v>
      </c>
      <c r="I402">
        <v>2023</v>
      </c>
      <c r="J402" s="38"/>
      <c r="K402" t="s">
        <v>173</v>
      </c>
      <c r="L402" t="s">
        <v>174</v>
      </c>
      <c r="M402" t="s">
        <v>14</v>
      </c>
      <c r="N402" t="s">
        <v>159</v>
      </c>
      <c r="O402"/>
      <c r="P402" t="s">
        <v>155</v>
      </c>
      <c r="Q402" t="s">
        <v>135</v>
      </c>
      <c r="R402" t="s">
        <v>31</v>
      </c>
      <c r="S402" t="s">
        <v>32</v>
      </c>
      <c r="U402" t="b">
        <v>1</v>
      </c>
      <c r="V402" t="b">
        <v>1</v>
      </c>
      <c r="W402" t="b">
        <v>0</v>
      </c>
      <c r="Y402" s="38"/>
      <c r="AS402"/>
    </row>
    <row r="403" spans="1:45" x14ac:dyDescent="0.3">
      <c r="A403">
        <v>169</v>
      </c>
      <c r="B403" t="s">
        <v>71</v>
      </c>
      <c r="E403" t="s">
        <v>549</v>
      </c>
      <c r="F403" t="s">
        <v>17</v>
      </c>
      <c r="G403" s="39">
        <v>44926.958333333336</v>
      </c>
      <c r="H403">
        <v>1</v>
      </c>
      <c r="I403">
        <v>2023</v>
      </c>
      <c r="J403" s="38"/>
      <c r="K403" t="s">
        <v>14</v>
      </c>
      <c r="L403" t="s">
        <v>99</v>
      </c>
      <c r="M403" t="s">
        <v>14</v>
      </c>
      <c r="O403"/>
      <c r="P403" t="s">
        <v>83</v>
      </c>
      <c r="Q403" t="s">
        <v>493</v>
      </c>
      <c r="R403" t="s">
        <v>494</v>
      </c>
      <c r="U403" t="b">
        <v>1</v>
      </c>
      <c r="V403" t="b">
        <v>1</v>
      </c>
      <c r="W403" t="b">
        <v>1</v>
      </c>
      <c r="Y403" s="38"/>
      <c r="AS403"/>
    </row>
    <row r="404" spans="1:45" x14ac:dyDescent="0.3">
      <c r="A404">
        <v>168</v>
      </c>
      <c r="B404" t="s">
        <v>71</v>
      </c>
      <c r="E404" t="s">
        <v>548</v>
      </c>
      <c r="F404" t="s">
        <v>17</v>
      </c>
      <c r="G404" s="39">
        <v>44926.958333333336</v>
      </c>
      <c r="H404">
        <v>1</v>
      </c>
      <c r="I404">
        <v>2023</v>
      </c>
      <c r="J404" s="38"/>
      <c r="K404" t="s">
        <v>110</v>
      </c>
      <c r="L404" t="s">
        <v>401</v>
      </c>
      <c r="M404" t="s">
        <v>112</v>
      </c>
      <c r="O404"/>
      <c r="P404" t="s">
        <v>83</v>
      </c>
      <c r="Q404" t="s">
        <v>402</v>
      </c>
      <c r="R404" t="s">
        <v>403</v>
      </c>
      <c r="U404" t="b">
        <v>1</v>
      </c>
      <c r="V404" t="b">
        <v>1</v>
      </c>
      <c r="W404" t="b">
        <v>1</v>
      </c>
      <c r="Y404" s="38"/>
      <c r="AS404"/>
    </row>
    <row r="405" spans="1:45" x14ac:dyDescent="0.3">
      <c r="A405">
        <v>167</v>
      </c>
      <c r="B405" t="s">
        <v>71</v>
      </c>
      <c r="E405" t="s">
        <v>547</v>
      </c>
      <c r="F405" t="s">
        <v>17</v>
      </c>
      <c r="G405" s="39">
        <v>44926.958333333336</v>
      </c>
      <c r="H405">
        <v>1</v>
      </c>
      <c r="I405">
        <v>2023</v>
      </c>
      <c r="J405" s="38"/>
      <c r="K405" t="s">
        <v>110</v>
      </c>
      <c r="L405" t="s">
        <v>401</v>
      </c>
      <c r="M405" t="s">
        <v>424</v>
      </c>
      <c r="O405"/>
      <c r="P405" t="s">
        <v>83</v>
      </c>
      <c r="Q405" t="s">
        <v>425</v>
      </c>
      <c r="R405" t="s">
        <v>97</v>
      </c>
      <c r="U405" t="b">
        <v>1</v>
      </c>
      <c r="V405" t="b">
        <v>1</v>
      </c>
      <c r="W405" t="b">
        <v>1</v>
      </c>
      <c r="Y405" s="38"/>
      <c r="AS405"/>
    </row>
    <row r="406" spans="1:45" x14ac:dyDescent="0.3">
      <c r="A406">
        <v>166</v>
      </c>
      <c r="B406" t="s">
        <v>71</v>
      </c>
      <c r="E406" t="s">
        <v>546</v>
      </c>
      <c r="F406" t="s">
        <v>17</v>
      </c>
      <c r="G406" s="39">
        <v>44913.958333333336</v>
      </c>
      <c r="H406">
        <v>12</v>
      </c>
      <c r="I406">
        <v>2022</v>
      </c>
      <c r="J406" s="38"/>
      <c r="K406" t="s">
        <v>113</v>
      </c>
      <c r="L406" t="s">
        <v>114</v>
      </c>
      <c r="M406" t="s">
        <v>115</v>
      </c>
      <c r="O406"/>
      <c r="P406" t="s">
        <v>34</v>
      </c>
      <c r="Q406" t="s">
        <v>116</v>
      </c>
      <c r="R406" t="s">
        <v>117</v>
      </c>
      <c r="U406" t="b">
        <v>1</v>
      </c>
      <c r="V406" t="b">
        <v>1</v>
      </c>
      <c r="W406" t="b">
        <v>1</v>
      </c>
      <c r="Y406" s="38"/>
      <c r="AS406"/>
    </row>
    <row r="407" spans="1:45" x14ac:dyDescent="0.3">
      <c r="A407">
        <v>165</v>
      </c>
      <c r="B407" t="s">
        <v>71</v>
      </c>
      <c r="E407" t="s">
        <v>545</v>
      </c>
      <c r="F407" t="s">
        <v>17</v>
      </c>
      <c r="G407" s="39">
        <v>44914.958333333336</v>
      </c>
      <c r="H407">
        <v>12</v>
      </c>
      <c r="I407">
        <v>2022</v>
      </c>
      <c r="J407" s="38"/>
      <c r="K407" t="s">
        <v>33</v>
      </c>
      <c r="L407" t="s">
        <v>487</v>
      </c>
      <c r="M407" t="s">
        <v>88</v>
      </c>
      <c r="O407"/>
      <c r="P407" t="s">
        <v>83</v>
      </c>
      <c r="Q407" t="s">
        <v>481</v>
      </c>
      <c r="R407" t="s">
        <v>482</v>
      </c>
      <c r="U407" t="b">
        <v>1</v>
      </c>
      <c r="V407" t="b">
        <v>1</v>
      </c>
      <c r="W407" t="b">
        <v>1</v>
      </c>
      <c r="Y407" s="38"/>
      <c r="AS407"/>
    </row>
    <row r="408" spans="1:45" x14ac:dyDescent="0.3">
      <c r="A408">
        <v>164</v>
      </c>
      <c r="B408" t="s">
        <v>71</v>
      </c>
      <c r="E408" t="s">
        <v>544</v>
      </c>
      <c r="F408" t="s">
        <v>17</v>
      </c>
      <c r="G408" s="39">
        <v>44914.958333333336</v>
      </c>
      <c r="H408">
        <v>12</v>
      </c>
      <c r="I408">
        <v>2022</v>
      </c>
      <c r="J408" s="38"/>
      <c r="K408" t="s">
        <v>102</v>
      </c>
      <c r="L408" t="s">
        <v>103</v>
      </c>
      <c r="M408" t="s">
        <v>106</v>
      </c>
      <c r="O408"/>
      <c r="P408" t="s">
        <v>34</v>
      </c>
      <c r="Q408" t="s">
        <v>108</v>
      </c>
      <c r="R408" t="s">
        <v>109</v>
      </c>
      <c r="U408" t="b">
        <v>1</v>
      </c>
      <c r="V408" t="b">
        <v>1</v>
      </c>
      <c r="W408" t="b">
        <v>1</v>
      </c>
      <c r="Y408" s="38"/>
      <c r="AS408"/>
    </row>
    <row r="409" spans="1:45" x14ac:dyDescent="0.3">
      <c r="A409">
        <v>163</v>
      </c>
      <c r="B409" t="s">
        <v>71</v>
      </c>
      <c r="E409" t="s">
        <v>543</v>
      </c>
      <c r="F409" t="s">
        <v>17</v>
      </c>
      <c r="G409" s="39">
        <v>44913.958333333336</v>
      </c>
      <c r="H409">
        <v>12</v>
      </c>
      <c r="I409">
        <v>2022</v>
      </c>
      <c r="J409" s="38"/>
      <c r="K409" t="s">
        <v>102</v>
      </c>
      <c r="L409" t="s">
        <v>103</v>
      </c>
      <c r="M409" t="s">
        <v>106</v>
      </c>
      <c r="O409"/>
      <c r="P409" t="s">
        <v>83</v>
      </c>
      <c r="Q409" t="s">
        <v>108</v>
      </c>
      <c r="R409" t="s">
        <v>109</v>
      </c>
      <c r="U409" t="b">
        <v>1</v>
      </c>
      <c r="V409" t="b">
        <v>1</v>
      </c>
      <c r="W409" t="b">
        <v>1</v>
      </c>
      <c r="Y409" s="38"/>
      <c r="AS409"/>
    </row>
    <row r="410" spans="1:45" x14ac:dyDescent="0.3">
      <c r="A410">
        <v>162</v>
      </c>
      <c r="B410" t="s">
        <v>71</v>
      </c>
      <c r="E410" t="s">
        <v>542</v>
      </c>
      <c r="F410" t="s">
        <v>17</v>
      </c>
      <c r="G410" s="39">
        <v>44914.958333333336</v>
      </c>
      <c r="H410">
        <v>12</v>
      </c>
      <c r="I410">
        <v>2022</v>
      </c>
      <c r="J410" s="38"/>
      <c r="K410" t="s">
        <v>32</v>
      </c>
      <c r="L410" t="s">
        <v>480</v>
      </c>
      <c r="M410" t="s">
        <v>136</v>
      </c>
      <c r="O410"/>
      <c r="P410" t="s">
        <v>83</v>
      </c>
      <c r="Q410" t="s">
        <v>481</v>
      </c>
      <c r="R410" t="s">
        <v>482</v>
      </c>
      <c r="U410" t="b">
        <v>1</v>
      </c>
      <c r="V410" t="b">
        <v>1</v>
      </c>
      <c r="W410" t="b">
        <v>1</v>
      </c>
      <c r="Y410" s="38"/>
      <c r="AS410"/>
    </row>
    <row r="411" spans="1:45" x14ac:dyDescent="0.3">
      <c r="A411">
        <v>161</v>
      </c>
      <c r="B411" t="s">
        <v>71</v>
      </c>
      <c r="E411" t="s">
        <v>541</v>
      </c>
      <c r="F411" t="s">
        <v>17</v>
      </c>
      <c r="G411" s="39">
        <v>44914.958333333336</v>
      </c>
      <c r="H411">
        <v>12</v>
      </c>
      <c r="I411">
        <v>2022</v>
      </c>
      <c r="J411" s="38"/>
      <c r="K411" t="s">
        <v>102</v>
      </c>
      <c r="L411" t="s">
        <v>103</v>
      </c>
      <c r="M411" t="s">
        <v>130</v>
      </c>
      <c r="O411"/>
      <c r="P411" t="s">
        <v>101</v>
      </c>
      <c r="Q411" t="s">
        <v>131</v>
      </c>
      <c r="R411" t="s">
        <v>124</v>
      </c>
      <c r="U411" t="b">
        <v>1</v>
      </c>
      <c r="V411" t="b">
        <v>1</v>
      </c>
      <c r="W411" t="b">
        <v>1</v>
      </c>
      <c r="Y411" s="38"/>
      <c r="AS411"/>
    </row>
    <row r="412" spans="1:45" x14ac:dyDescent="0.3">
      <c r="A412">
        <v>160</v>
      </c>
      <c r="B412" t="s">
        <v>71</v>
      </c>
      <c r="E412" t="s">
        <v>540</v>
      </c>
      <c r="F412" t="s">
        <v>17</v>
      </c>
      <c r="G412" s="39">
        <v>44915.958333333336</v>
      </c>
      <c r="H412">
        <v>12</v>
      </c>
      <c r="I412">
        <v>2022</v>
      </c>
      <c r="J412" s="38"/>
      <c r="K412" t="s">
        <v>110</v>
      </c>
      <c r="L412" t="s">
        <v>401</v>
      </c>
      <c r="M412" t="s">
        <v>111</v>
      </c>
      <c r="O412"/>
      <c r="P412" t="s">
        <v>101</v>
      </c>
      <c r="Q412" t="s">
        <v>415</v>
      </c>
      <c r="R412" t="s">
        <v>416</v>
      </c>
      <c r="U412" t="b">
        <v>1</v>
      </c>
      <c r="V412" t="b">
        <v>1</v>
      </c>
      <c r="W412" t="b">
        <v>1</v>
      </c>
      <c r="Y412" s="38"/>
      <c r="AS412"/>
    </row>
    <row r="413" spans="1:45" x14ac:dyDescent="0.3">
      <c r="A413">
        <v>159</v>
      </c>
      <c r="B413" t="s">
        <v>71</v>
      </c>
      <c r="E413" t="s">
        <v>539</v>
      </c>
      <c r="F413" t="s">
        <v>17</v>
      </c>
      <c r="G413" s="39">
        <v>44917.958333333336</v>
      </c>
      <c r="H413">
        <v>12</v>
      </c>
      <c r="I413">
        <v>2022</v>
      </c>
      <c r="J413" s="38"/>
      <c r="K413" t="s">
        <v>140</v>
      </c>
      <c r="L413" t="s">
        <v>141</v>
      </c>
      <c r="M413" t="s">
        <v>142</v>
      </c>
      <c r="O413"/>
      <c r="P413" t="s">
        <v>101</v>
      </c>
      <c r="Q413" t="s">
        <v>143</v>
      </c>
      <c r="R413" t="s">
        <v>144</v>
      </c>
      <c r="U413" t="b">
        <v>1</v>
      </c>
      <c r="V413" t="b">
        <v>1</v>
      </c>
      <c r="W413" t="b">
        <v>1</v>
      </c>
      <c r="Y413" s="38"/>
      <c r="AS413"/>
    </row>
    <row r="414" spans="1:45" x14ac:dyDescent="0.3">
      <c r="A414">
        <v>158</v>
      </c>
      <c r="B414" t="s">
        <v>71</v>
      </c>
      <c r="E414" t="s">
        <v>538</v>
      </c>
      <c r="F414" t="s">
        <v>17</v>
      </c>
      <c r="G414" s="39">
        <v>44903.958333333336</v>
      </c>
      <c r="H414">
        <v>12</v>
      </c>
      <c r="I414">
        <v>2022</v>
      </c>
      <c r="J414" s="38"/>
      <c r="K414" t="s">
        <v>14</v>
      </c>
      <c r="L414" t="s">
        <v>99</v>
      </c>
      <c r="M414" t="s">
        <v>100</v>
      </c>
      <c r="O414"/>
      <c r="P414" t="s">
        <v>101</v>
      </c>
      <c r="Q414" t="s">
        <v>500</v>
      </c>
      <c r="R414" t="s">
        <v>501</v>
      </c>
      <c r="U414" t="b">
        <v>1</v>
      </c>
      <c r="V414" t="b">
        <v>1</v>
      </c>
      <c r="W414" t="b">
        <v>1</v>
      </c>
      <c r="Y414" s="38"/>
      <c r="AS414"/>
    </row>
    <row r="415" spans="1:45" x14ac:dyDescent="0.3">
      <c r="A415">
        <v>157</v>
      </c>
      <c r="B415" t="s">
        <v>71</v>
      </c>
      <c r="E415" t="s">
        <v>537</v>
      </c>
      <c r="F415" t="s">
        <v>17</v>
      </c>
      <c r="G415" s="39">
        <v>44904.958333333336</v>
      </c>
      <c r="H415">
        <v>12</v>
      </c>
      <c r="I415">
        <v>2022</v>
      </c>
      <c r="J415" s="38"/>
      <c r="K415" t="s">
        <v>118</v>
      </c>
      <c r="L415" t="s">
        <v>119</v>
      </c>
      <c r="M415" t="s">
        <v>137</v>
      </c>
      <c r="O415"/>
      <c r="P415" t="s">
        <v>34</v>
      </c>
      <c r="Q415" t="s">
        <v>135</v>
      </c>
      <c r="R415" t="s">
        <v>7</v>
      </c>
      <c r="U415" t="b">
        <v>1</v>
      </c>
      <c r="V415" t="b">
        <v>1</v>
      </c>
      <c r="W415" t="b">
        <v>1</v>
      </c>
      <c r="Y415" s="38"/>
      <c r="AS415"/>
    </row>
    <row r="416" spans="1:45" x14ac:dyDescent="0.3">
      <c r="A416">
        <v>156</v>
      </c>
      <c r="B416" t="s">
        <v>71</v>
      </c>
      <c r="E416" t="s">
        <v>536</v>
      </c>
      <c r="F416" t="s">
        <v>17</v>
      </c>
      <c r="G416" s="39">
        <v>44904.958333333336</v>
      </c>
      <c r="H416">
        <v>12</v>
      </c>
      <c r="I416">
        <v>2022</v>
      </c>
      <c r="J416" s="38"/>
      <c r="K416" t="s">
        <v>118</v>
      </c>
      <c r="L416" t="s">
        <v>119</v>
      </c>
      <c r="M416" t="s">
        <v>120</v>
      </c>
      <c r="O416"/>
      <c r="P416" t="s">
        <v>83</v>
      </c>
      <c r="Q416" t="s">
        <v>473</v>
      </c>
      <c r="R416" t="s">
        <v>87</v>
      </c>
      <c r="U416" t="b">
        <v>1</v>
      </c>
      <c r="V416" t="b">
        <v>1</v>
      </c>
      <c r="W416" t="b">
        <v>1</v>
      </c>
      <c r="Y416" s="38"/>
      <c r="AS416"/>
    </row>
    <row r="417" spans="1:45" x14ac:dyDescent="0.3">
      <c r="A417">
        <v>155</v>
      </c>
      <c r="B417" t="s">
        <v>71</v>
      </c>
      <c r="E417" t="s">
        <v>535</v>
      </c>
      <c r="F417" t="s">
        <v>17</v>
      </c>
      <c r="G417" s="39">
        <v>44905.958333333336</v>
      </c>
      <c r="H417">
        <v>12</v>
      </c>
      <c r="I417">
        <v>2022</v>
      </c>
      <c r="J417" s="38"/>
      <c r="K417" t="s">
        <v>14</v>
      </c>
      <c r="L417" t="s">
        <v>99</v>
      </c>
      <c r="M417" t="s">
        <v>112</v>
      </c>
      <c r="O417"/>
      <c r="P417" t="s">
        <v>34</v>
      </c>
      <c r="Q417" t="s">
        <v>135</v>
      </c>
      <c r="R417" t="s">
        <v>31</v>
      </c>
      <c r="U417" t="b">
        <v>1</v>
      </c>
      <c r="V417" t="b">
        <v>1</v>
      </c>
      <c r="W417" t="b">
        <v>1</v>
      </c>
      <c r="Y417" s="38"/>
      <c r="AS417"/>
    </row>
    <row r="418" spans="1:45" x14ac:dyDescent="0.3">
      <c r="A418">
        <v>154</v>
      </c>
      <c r="B418" t="s">
        <v>71</v>
      </c>
      <c r="E418" t="s">
        <v>534</v>
      </c>
      <c r="F418" t="s">
        <v>17</v>
      </c>
      <c r="G418" s="39">
        <v>44905.958333333336</v>
      </c>
      <c r="H418">
        <v>12</v>
      </c>
      <c r="I418">
        <v>2022</v>
      </c>
      <c r="J418" s="38"/>
      <c r="K418" t="s">
        <v>82</v>
      </c>
      <c r="L418" t="s">
        <v>350</v>
      </c>
      <c r="M418" t="s">
        <v>469</v>
      </c>
      <c r="O418"/>
      <c r="P418" t="s">
        <v>138</v>
      </c>
      <c r="Q418" t="s">
        <v>470</v>
      </c>
      <c r="R418" t="s">
        <v>31</v>
      </c>
      <c r="U418" t="b">
        <v>1</v>
      </c>
      <c r="V418" t="b">
        <v>1</v>
      </c>
      <c r="W418" t="b">
        <v>1</v>
      </c>
      <c r="Y418" s="38"/>
      <c r="AS418"/>
    </row>
    <row r="419" spans="1:45" x14ac:dyDescent="0.3">
      <c r="A419">
        <v>153</v>
      </c>
      <c r="B419" t="s">
        <v>71</v>
      </c>
      <c r="E419" t="s">
        <v>533</v>
      </c>
      <c r="F419" t="s">
        <v>17</v>
      </c>
      <c r="G419" s="39">
        <v>44905.958333333336</v>
      </c>
      <c r="H419">
        <v>12</v>
      </c>
      <c r="I419">
        <v>2022</v>
      </c>
      <c r="J419" s="38"/>
      <c r="K419" t="s">
        <v>125</v>
      </c>
      <c r="L419" t="s">
        <v>126</v>
      </c>
      <c r="M419" t="s">
        <v>355</v>
      </c>
      <c r="O419"/>
      <c r="P419" t="s">
        <v>333</v>
      </c>
      <c r="Q419" t="s">
        <v>356</v>
      </c>
      <c r="R419" t="s">
        <v>12</v>
      </c>
      <c r="U419" t="b">
        <v>1</v>
      </c>
      <c r="V419" t="b">
        <v>1</v>
      </c>
      <c r="W419" t="b">
        <v>0</v>
      </c>
      <c r="Y419" s="38"/>
      <c r="AS419"/>
    </row>
    <row r="420" spans="1:45" x14ac:dyDescent="0.3">
      <c r="A420">
        <v>152</v>
      </c>
      <c r="B420" t="s">
        <v>71</v>
      </c>
      <c r="E420" t="s">
        <v>532</v>
      </c>
      <c r="F420" t="s">
        <v>17</v>
      </c>
      <c r="G420" s="39">
        <v>44905.958333333336</v>
      </c>
      <c r="H420">
        <v>12</v>
      </c>
      <c r="I420">
        <v>2022</v>
      </c>
      <c r="J420" s="38"/>
      <c r="K420" t="s">
        <v>125</v>
      </c>
      <c r="L420" t="s">
        <v>126</v>
      </c>
      <c r="M420" t="s">
        <v>123</v>
      </c>
      <c r="O420"/>
      <c r="P420" t="s">
        <v>101</v>
      </c>
      <c r="Q420" t="s">
        <v>139</v>
      </c>
      <c r="R420" t="s">
        <v>117</v>
      </c>
      <c r="U420" t="b">
        <v>1</v>
      </c>
      <c r="V420" t="b">
        <v>1</v>
      </c>
      <c r="W420" t="b">
        <v>0</v>
      </c>
      <c r="Y420" s="38"/>
      <c r="AS420"/>
    </row>
    <row r="421" spans="1:45" x14ac:dyDescent="0.3">
      <c r="A421">
        <v>151</v>
      </c>
      <c r="B421" t="s">
        <v>71</v>
      </c>
      <c r="E421" t="s">
        <v>531</v>
      </c>
      <c r="F421" t="s">
        <v>17</v>
      </c>
      <c r="G421" s="39">
        <v>44908.958333333336</v>
      </c>
      <c r="H421">
        <v>12</v>
      </c>
      <c r="I421">
        <v>2022</v>
      </c>
      <c r="J421" s="38"/>
      <c r="K421" t="s">
        <v>113</v>
      </c>
      <c r="L421" t="s">
        <v>114</v>
      </c>
      <c r="M421" t="s">
        <v>115</v>
      </c>
      <c r="O421"/>
      <c r="P421" t="s">
        <v>107</v>
      </c>
      <c r="Q421" t="s">
        <v>116</v>
      </c>
      <c r="R421" t="s">
        <v>117</v>
      </c>
      <c r="U421" t="b">
        <v>1</v>
      </c>
      <c r="V421" t="b">
        <v>1</v>
      </c>
      <c r="W421" t="b">
        <v>1</v>
      </c>
      <c r="Y421" s="38"/>
      <c r="AS421"/>
    </row>
    <row r="422" spans="1:45" x14ac:dyDescent="0.3">
      <c r="A422">
        <v>150</v>
      </c>
      <c r="B422" t="s">
        <v>71</v>
      </c>
      <c r="E422" t="s">
        <v>530</v>
      </c>
      <c r="F422" t="s">
        <v>17</v>
      </c>
      <c r="G422" s="39">
        <v>44908.958333333336</v>
      </c>
      <c r="H422">
        <v>12</v>
      </c>
      <c r="I422">
        <v>2022</v>
      </c>
      <c r="J422" s="38"/>
      <c r="K422" t="s">
        <v>133</v>
      </c>
      <c r="L422" t="s">
        <v>134</v>
      </c>
      <c r="M422" t="s">
        <v>123</v>
      </c>
      <c r="O422"/>
      <c r="P422" t="s">
        <v>34</v>
      </c>
      <c r="Q422" t="s">
        <v>135</v>
      </c>
      <c r="R422" t="s">
        <v>7</v>
      </c>
      <c r="U422" t="b">
        <v>0</v>
      </c>
      <c r="V422" t="b">
        <v>1</v>
      </c>
      <c r="W422" t="b">
        <v>1</v>
      </c>
      <c r="Y422" s="38"/>
      <c r="AS422"/>
    </row>
    <row r="423" spans="1:45" x14ac:dyDescent="0.3">
      <c r="A423">
        <v>149</v>
      </c>
      <c r="B423" t="s">
        <v>71</v>
      </c>
      <c r="E423" t="s">
        <v>529</v>
      </c>
      <c r="F423" t="s">
        <v>17</v>
      </c>
      <c r="G423" s="39">
        <v>44901.958333333336</v>
      </c>
      <c r="H423">
        <v>12</v>
      </c>
      <c r="I423">
        <v>2022</v>
      </c>
      <c r="J423" s="38"/>
      <c r="K423" t="s">
        <v>84</v>
      </c>
      <c r="L423" t="s">
        <v>369</v>
      </c>
      <c r="M423" t="s">
        <v>85</v>
      </c>
      <c r="O423"/>
      <c r="P423" t="s">
        <v>83</v>
      </c>
      <c r="Q423" t="s">
        <v>86</v>
      </c>
      <c r="R423" t="s">
        <v>87</v>
      </c>
      <c r="U423" t="b">
        <v>1</v>
      </c>
      <c r="V423" t="b">
        <v>1</v>
      </c>
      <c r="W423" t="b">
        <v>1</v>
      </c>
      <c r="Y423" s="38"/>
      <c r="AS423"/>
    </row>
    <row r="424" spans="1:45" x14ac:dyDescent="0.3">
      <c r="A424">
        <v>148</v>
      </c>
      <c r="B424" t="s">
        <v>71</v>
      </c>
      <c r="E424" t="s">
        <v>528</v>
      </c>
      <c r="F424" t="s">
        <v>17</v>
      </c>
      <c r="G424" s="39">
        <v>44902.958333333336</v>
      </c>
      <c r="H424">
        <v>12</v>
      </c>
      <c r="I424">
        <v>2022</v>
      </c>
      <c r="J424" s="38"/>
      <c r="K424" t="s">
        <v>125</v>
      </c>
      <c r="L424" t="s">
        <v>126</v>
      </c>
      <c r="M424" t="s">
        <v>13</v>
      </c>
      <c r="O424"/>
      <c r="P424" t="s">
        <v>101</v>
      </c>
      <c r="Q424" t="s">
        <v>338</v>
      </c>
      <c r="R424" t="s">
        <v>132</v>
      </c>
      <c r="U424" t="b">
        <v>1</v>
      </c>
      <c r="V424" t="b">
        <v>1</v>
      </c>
      <c r="W424" t="b">
        <v>0</v>
      </c>
      <c r="Y424" s="38"/>
      <c r="AS424"/>
    </row>
    <row r="425" spans="1:45" x14ac:dyDescent="0.3">
      <c r="A425">
        <v>147</v>
      </c>
      <c r="B425" t="s">
        <v>71</v>
      </c>
      <c r="E425" t="s">
        <v>527</v>
      </c>
      <c r="F425" t="s">
        <v>17</v>
      </c>
      <c r="G425" s="39">
        <v>44902.958333333336</v>
      </c>
      <c r="H425">
        <v>12</v>
      </c>
      <c r="I425">
        <v>2022</v>
      </c>
      <c r="J425" s="38"/>
      <c r="K425" t="s">
        <v>125</v>
      </c>
      <c r="L425" t="s">
        <v>126</v>
      </c>
      <c r="M425" t="s">
        <v>378</v>
      </c>
      <c r="O425"/>
      <c r="P425" t="s">
        <v>34</v>
      </c>
      <c r="Q425" t="s">
        <v>379</v>
      </c>
      <c r="R425" t="s">
        <v>380</v>
      </c>
      <c r="U425" t="b">
        <v>1</v>
      </c>
      <c r="V425" t="b">
        <v>1</v>
      </c>
      <c r="W425" t="b">
        <v>0</v>
      </c>
      <c r="Y425" s="38"/>
      <c r="AS425"/>
    </row>
    <row r="426" spans="1:45" x14ac:dyDescent="0.3">
      <c r="A426">
        <v>146</v>
      </c>
      <c r="B426" t="s">
        <v>71</v>
      </c>
      <c r="E426" t="s">
        <v>529</v>
      </c>
      <c r="F426" t="s">
        <v>17</v>
      </c>
      <c r="G426" s="39">
        <v>44901.958333333336</v>
      </c>
      <c r="H426">
        <v>12</v>
      </c>
      <c r="I426">
        <v>2022</v>
      </c>
      <c r="J426" s="38"/>
      <c r="K426" t="s">
        <v>84</v>
      </c>
      <c r="L426" t="s">
        <v>369</v>
      </c>
      <c r="M426" t="s">
        <v>85</v>
      </c>
      <c r="O426"/>
      <c r="P426" t="s">
        <v>83</v>
      </c>
      <c r="Q426" t="s">
        <v>86</v>
      </c>
      <c r="R426" t="s">
        <v>87</v>
      </c>
      <c r="U426" t="b">
        <v>1</v>
      </c>
      <c r="V426" t="b">
        <v>1</v>
      </c>
      <c r="W426" t="b">
        <v>1</v>
      </c>
      <c r="Y426" s="38"/>
      <c r="AS426"/>
    </row>
    <row r="427" spans="1:45" x14ac:dyDescent="0.3">
      <c r="A427">
        <v>145</v>
      </c>
      <c r="B427" t="s">
        <v>71</v>
      </c>
      <c r="E427" t="s">
        <v>528</v>
      </c>
      <c r="F427" t="s">
        <v>17</v>
      </c>
      <c r="G427" s="39">
        <v>44902.958333333336</v>
      </c>
      <c r="H427">
        <v>12</v>
      </c>
      <c r="I427">
        <v>2022</v>
      </c>
      <c r="J427" s="38"/>
      <c r="K427" t="s">
        <v>125</v>
      </c>
      <c r="L427" t="s">
        <v>126</v>
      </c>
      <c r="M427" t="s">
        <v>13</v>
      </c>
      <c r="O427"/>
      <c r="P427" t="s">
        <v>101</v>
      </c>
      <c r="Q427" t="s">
        <v>338</v>
      </c>
      <c r="R427" t="s">
        <v>132</v>
      </c>
      <c r="U427" t="b">
        <v>1</v>
      </c>
      <c r="V427" t="b">
        <v>1</v>
      </c>
      <c r="W427" t="b">
        <v>0</v>
      </c>
      <c r="Y427" s="38"/>
      <c r="AS427"/>
    </row>
    <row r="428" spans="1:45" x14ac:dyDescent="0.3">
      <c r="A428">
        <v>144</v>
      </c>
      <c r="B428" t="s">
        <v>71</v>
      </c>
      <c r="E428" t="s">
        <v>527</v>
      </c>
      <c r="F428" t="s">
        <v>17</v>
      </c>
      <c r="G428" s="39">
        <v>44902.958333333336</v>
      </c>
      <c r="H428">
        <v>12</v>
      </c>
      <c r="I428">
        <v>2022</v>
      </c>
      <c r="J428" s="38"/>
      <c r="K428" t="s">
        <v>125</v>
      </c>
      <c r="L428" t="s">
        <v>126</v>
      </c>
      <c r="M428" t="s">
        <v>378</v>
      </c>
      <c r="O428"/>
      <c r="P428" t="s">
        <v>34</v>
      </c>
      <c r="Q428" t="s">
        <v>379</v>
      </c>
      <c r="R428" t="s">
        <v>380</v>
      </c>
      <c r="U428" t="b">
        <v>1</v>
      </c>
      <c r="V428" t="b">
        <v>1</v>
      </c>
      <c r="W428" t="b">
        <v>0</v>
      </c>
      <c r="Y428" s="38"/>
      <c r="AS428"/>
    </row>
    <row r="429" spans="1:45" x14ac:dyDescent="0.3">
      <c r="A429">
        <v>143</v>
      </c>
      <c r="B429" t="s">
        <v>71</v>
      </c>
      <c r="E429" t="s">
        <v>526</v>
      </c>
      <c r="F429" t="s">
        <v>17</v>
      </c>
      <c r="G429" s="39">
        <v>44896.958333333336</v>
      </c>
      <c r="H429">
        <v>12</v>
      </c>
      <c r="I429">
        <v>2022</v>
      </c>
      <c r="J429" s="38"/>
      <c r="K429" t="s">
        <v>102</v>
      </c>
      <c r="L429" t="s">
        <v>103</v>
      </c>
      <c r="M429" t="s">
        <v>104</v>
      </c>
      <c r="O429"/>
      <c r="P429" t="s">
        <v>83</v>
      </c>
      <c r="Q429" t="s">
        <v>105</v>
      </c>
      <c r="R429" t="s">
        <v>87</v>
      </c>
      <c r="U429" t="b">
        <v>1</v>
      </c>
      <c r="V429" t="b">
        <v>1</v>
      </c>
      <c r="W429" t="b">
        <v>1</v>
      </c>
      <c r="Y429" s="38"/>
      <c r="AS429"/>
    </row>
    <row r="430" spans="1:45" x14ac:dyDescent="0.3">
      <c r="A430">
        <v>142</v>
      </c>
      <c r="B430" t="s">
        <v>71</v>
      </c>
      <c r="E430" t="s">
        <v>525</v>
      </c>
      <c r="F430" t="s">
        <v>17</v>
      </c>
      <c r="G430" s="39">
        <v>44896.958333333336</v>
      </c>
      <c r="H430">
        <v>12</v>
      </c>
      <c r="I430">
        <v>2022</v>
      </c>
      <c r="J430" s="38"/>
      <c r="K430" t="s">
        <v>121</v>
      </c>
      <c r="L430" t="s">
        <v>122</v>
      </c>
      <c r="M430" t="s">
        <v>123</v>
      </c>
      <c r="O430"/>
      <c r="P430" t="s">
        <v>101</v>
      </c>
      <c r="Q430" t="s">
        <v>409</v>
      </c>
      <c r="R430" t="s">
        <v>124</v>
      </c>
      <c r="U430" t="b">
        <v>1</v>
      </c>
      <c r="V430" t="b">
        <v>1</v>
      </c>
      <c r="W430" t="b">
        <v>1</v>
      </c>
      <c r="Y430" s="38"/>
      <c r="AS430"/>
    </row>
    <row r="431" spans="1:45" x14ac:dyDescent="0.3">
      <c r="A431">
        <v>141</v>
      </c>
      <c r="B431" t="s">
        <v>71</v>
      </c>
      <c r="E431" t="s">
        <v>524</v>
      </c>
      <c r="F431" t="s">
        <v>17</v>
      </c>
      <c r="G431" s="39">
        <v>44894.958333333336</v>
      </c>
      <c r="H431">
        <v>11</v>
      </c>
      <c r="I431">
        <v>2022</v>
      </c>
      <c r="J431" s="38"/>
      <c r="K431" t="s">
        <v>14</v>
      </c>
      <c r="L431" t="s">
        <v>99</v>
      </c>
      <c r="M431" t="s">
        <v>14</v>
      </c>
      <c r="O431"/>
      <c r="P431" t="s">
        <v>34</v>
      </c>
      <c r="Q431" t="s">
        <v>493</v>
      </c>
      <c r="R431" t="s">
        <v>494</v>
      </c>
      <c r="U431" t="b">
        <v>1</v>
      </c>
      <c r="V431" t="b">
        <v>1</v>
      </c>
      <c r="W431" t="b">
        <v>1</v>
      </c>
      <c r="Y431" s="38"/>
      <c r="AS431"/>
    </row>
    <row r="432" spans="1:45" x14ac:dyDescent="0.3">
      <c r="A432">
        <v>140</v>
      </c>
      <c r="B432" t="s">
        <v>71</v>
      </c>
      <c r="E432" t="s">
        <v>523</v>
      </c>
      <c r="F432" t="s">
        <v>17</v>
      </c>
      <c r="G432" s="39">
        <v>44893.958333333336</v>
      </c>
      <c r="H432">
        <v>11</v>
      </c>
      <c r="I432">
        <v>2022</v>
      </c>
      <c r="J432" s="38"/>
      <c r="K432" t="s">
        <v>133</v>
      </c>
      <c r="L432" t="s">
        <v>134</v>
      </c>
      <c r="M432" t="s">
        <v>14</v>
      </c>
      <c r="O432"/>
      <c r="P432" t="s">
        <v>34</v>
      </c>
      <c r="Q432" t="s">
        <v>335</v>
      </c>
      <c r="R432" t="s">
        <v>336</v>
      </c>
      <c r="U432" t="b">
        <v>1</v>
      </c>
      <c r="V432" t="b">
        <v>1</v>
      </c>
      <c r="W432" t="b">
        <v>1</v>
      </c>
      <c r="Y432" s="38"/>
      <c r="AS432"/>
    </row>
    <row r="433" spans="1:45" x14ac:dyDescent="0.3">
      <c r="A433">
        <v>139</v>
      </c>
      <c r="B433" t="s">
        <v>71</v>
      </c>
      <c r="E433" t="s">
        <v>521</v>
      </c>
      <c r="F433" t="s">
        <v>17</v>
      </c>
      <c r="G433" s="39">
        <v>44895.958333333336</v>
      </c>
      <c r="H433">
        <v>12</v>
      </c>
      <c r="I433">
        <v>2022</v>
      </c>
      <c r="J433" s="38"/>
      <c r="K433" t="s">
        <v>127</v>
      </c>
      <c r="L433" t="s">
        <v>341</v>
      </c>
      <c r="M433" t="s">
        <v>14</v>
      </c>
      <c r="O433"/>
      <c r="P433" t="s">
        <v>83</v>
      </c>
      <c r="Q433" t="s">
        <v>135</v>
      </c>
      <c r="R433" t="s">
        <v>7</v>
      </c>
      <c r="U433" t="b">
        <v>1</v>
      </c>
      <c r="V433" t="b">
        <v>1</v>
      </c>
      <c r="W433" t="b">
        <v>1</v>
      </c>
      <c r="Y433" s="38"/>
      <c r="AS433"/>
    </row>
    <row r="434" spans="1:45" x14ac:dyDescent="0.3">
      <c r="A434">
        <v>138</v>
      </c>
      <c r="B434" t="s">
        <v>71</v>
      </c>
      <c r="E434" t="s">
        <v>519</v>
      </c>
      <c r="F434" t="s">
        <v>17</v>
      </c>
      <c r="G434" s="39">
        <v>44894.958333333336</v>
      </c>
      <c r="H434">
        <v>11</v>
      </c>
      <c r="I434">
        <v>2022</v>
      </c>
      <c r="J434" s="38"/>
      <c r="K434" t="s">
        <v>127</v>
      </c>
      <c r="L434" t="s">
        <v>341</v>
      </c>
      <c r="M434" t="s">
        <v>123</v>
      </c>
      <c r="O434"/>
      <c r="P434" t="s">
        <v>101</v>
      </c>
      <c r="Q434" t="s">
        <v>520</v>
      </c>
      <c r="R434" t="s">
        <v>12</v>
      </c>
      <c r="U434" t="b">
        <v>1</v>
      </c>
      <c r="V434" t="b">
        <v>1</v>
      </c>
      <c r="W434" t="b">
        <v>0</v>
      </c>
      <c r="Y434" s="38"/>
      <c r="AS434"/>
    </row>
    <row r="435" spans="1:45" x14ac:dyDescent="0.3">
      <c r="A435">
        <v>137</v>
      </c>
      <c r="B435" t="s">
        <v>71</v>
      </c>
      <c r="E435" t="s">
        <v>518</v>
      </c>
      <c r="F435" t="s">
        <v>17</v>
      </c>
      <c r="G435" s="39">
        <v>44881.958333333336</v>
      </c>
      <c r="H435">
        <v>11</v>
      </c>
      <c r="I435">
        <v>2022</v>
      </c>
      <c r="J435" s="38"/>
      <c r="K435" t="s">
        <v>102</v>
      </c>
      <c r="L435" t="s">
        <v>103</v>
      </c>
      <c r="M435" t="s">
        <v>106</v>
      </c>
      <c r="O435"/>
      <c r="P435" t="s">
        <v>107</v>
      </c>
      <c r="Q435" t="s">
        <v>108</v>
      </c>
      <c r="R435" t="s">
        <v>109</v>
      </c>
      <c r="U435" t="b">
        <v>1</v>
      </c>
      <c r="V435" t="b">
        <v>1</v>
      </c>
      <c r="W435" t="b">
        <v>1</v>
      </c>
      <c r="Y435" s="38"/>
      <c r="AS435"/>
    </row>
    <row r="436" spans="1:45" x14ac:dyDescent="0.3">
      <c r="A436">
        <v>136</v>
      </c>
      <c r="B436" t="s">
        <v>71</v>
      </c>
      <c r="E436" t="s">
        <v>517</v>
      </c>
      <c r="F436" t="s">
        <v>17</v>
      </c>
      <c r="G436" s="39">
        <v>44880.958333333336</v>
      </c>
      <c r="H436">
        <v>11</v>
      </c>
      <c r="I436">
        <v>2022</v>
      </c>
      <c r="J436" s="38"/>
      <c r="K436" t="s">
        <v>33</v>
      </c>
      <c r="L436" t="s">
        <v>487</v>
      </c>
      <c r="M436" t="s">
        <v>88</v>
      </c>
      <c r="O436"/>
      <c r="P436" t="s">
        <v>83</v>
      </c>
      <c r="Q436" t="s">
        <v>481</v>
      </c>
      <c r="R436" t="s">
        <v>482</v>
      </c>
      <c r="U436" t="b">
        <v>1</v>
      </c>
      <c r="V436" t="b">
        <v>1</v>
      </c>
      <c r="W436" t="b">
        <v>1</v>
      </c>
      <c r="Y436" s="38"/>
      <c r="AS436"/>
    </row>
    <row r="437" spans="1:45" x14ac:dyDescent="0.3">
      <c r="A437">
        <v>135</v>
      </c>
      <c r="B437" t="s">
        <v>71</v>
      </c>
      <c r="E437" t="s">
        <v>516</v>
      </c>
      <c r="F437" t="s">
        <v>17</v>
      </c>
      <c r="G437" s="39">
        <v>44880.958333333336</v>
      </c>
      <c r="H437">
        <v>11</v>
      </c>
      <c r="I437">
        <v>2022</v>
      </c>
      <c r="J437" s="38"/>
      <c r="K437" t="s">
        <v>82</v>
      </c>
      <c r="L437" t="s">
        <v>350</v>
      </c>
      <c r="M437" t="s">
        <v>282</v>
      </c>
      <c r="O437"/>
      <c r="P437" t="s">
        <v>83</v>
      </c>
      <c r="Q437" t="s">
        <v>283</v>
      </c>
      <c r="R437" t="s">
        <v>284</v>
      </c>
      <c r="U437" t="b">
        <v>1</v>
      </c>
      <c r="V437" t="b">
        <v>1</v>
      </c>
      <c r="W437" t="b">
        <v>1</v>
      </c>
      <c r="Y437" s="38"/>
      <c r="AS437"/>
    </row>
    <row r="438" spans="1:45" x14ac:dyDescent="0.3">
      <c r="A438">
        <v>134</v>
      </c>
      <c r="B438" t="s">
        <v>71</v>
      </c>
      <c r="E438" t="s">
        <v>515</v>
      </c>
      <c r="F438" t="s">
        <v>17</v>
      </c>
      <c r="G438" s="39">
        <v>44880.958333333336</v>
      </c>
      <c r="H438">
        <v>11</v>
      </c>
      <c r="I438">
        <v>2022</v>
      </c>
      <c r="J438" s="38"/>
      <c r="K438" t="s">
        <v>84</v>
      </c>
      <c r="L438" t="s">
        <v>369</v>
      </c>
      <c r="M438" t="s">
        <v>85</v>
      </c>
      <c r="O438"/>
      <c r="P438" t="s">
        <v>83</v>
      </c>
      <c r="Q438" t="s">
        <v>86</v>
      </c>
      <c r="R438" t="s">
        <v>87</v>
      </c>
      <c r="U438" t="b">
        <v>1</v>
      </c>
      <c r="V438" t="b">
        <v>1</v>
      </c>
      <c r="W438" t="b">
        <v>1</v>
      </c>
      <c r="Y438" s="38"/>
      <c r="AS438"/>
    </row>
    <row r="439" spans="1:45" x14ac:dyDescent="0.3">
      <c r="A439">
        <v>133</v>
      </c>
      <c r="B439" t="s">
        <v>71</v>
      </c>
      <c r="E439" t="s">
        <v>514</v>
      </c>
      <c r="F439" t="s">
        <v>17</v>
      </c>
      <c r="G439" s="39">
        <v>44880.958333333336</v>
      </c>
      <c r="H439">
        <v>11</v>
      </c>
      <c r="I439">
        <v>2022</v>
      </c>
      <c r="J439" s="38"/>
      <c r="K439" t="s">
        <v>102</v>
      </c>
      <c r="L439" t="s">
        <v>103</v>
      </c>
      <c r="M439" t="s">
        <v>130</v>
      </c>
      <c r="O439"/>
      <c r="P439" t="s">
        <v>101</v>
      </c>
      <c r="Q439" t="s">
        <v>131</v>
      </c>
      <c r="R439" t="s">
        <v>124</v>
      </c>
      <c r="U439" t="b">
        <v>1</v>
      </c>
      <c r="V439" t="b">
        <v>1</v>
      </c>
      <c r="W439" t="b">
        <v>1</v>
      </c>
      <c r="Y439" s="38"/>
      <c r="AS439"/>
    </row>
    <row r="440" spans="1:45" x14ac:dyDescent="0.3">
      <c r="A440">
        <v>132</v>
      </c>
      <c r="B440" t="s">
        <v>71</v>
      </c>
      <c r="E440" t="s">
        <v>513</v>
      </c>
      <c r="F440" t="s">
        <v>17</v>
      </c>
      <c r="G440" s="39">
        <v>44880.958333333336</v>
      </c>
      <c r="H440">
        <v>11</v>
      </c>
      <c r="I440">
        <v>2022</v>
      </c>
      <c r="J440" s="38"/>
      <c r="K440" t="s">
        <v>110</v>
      </c>
      <c r="L440" t="s">
        <v>401</v>
      </c>
      <c r="M440" t="s">
        <v>111</v>
      </c>
      <c r="O440"/>
      <c r="P440" t="s">
        <v>101</v>
      </c>
      <c r="Q440" t="s">
        <v>415</v>
      </c>
      <c r="R440" t="s">
        <v>416</v>
      </c>
      <c r="U440" t="b">
        <v>1</v>
      </c>
      <c r="V440" t="b">
        <v>1</v>
      </c>
      <c r="W440" t="b">
        <v>1</v>
      </c>
      <c r="Y440" s="38"/>
      <c r="AS440"/>
    </row>
    <row r="441" spans="1:45" x14ac:dyDescent="0.3">
      <c r="A441">
        <v>131</v>
      </c>
      <c r="B441" t="s">
        <v>71</v>
      </c>
      <c r="E441" t="s">
        <v>512</v>
      </c>
      <c r="F441" t="s">
        <v>17</v>
      </c>
      <c r="G441" s="39">
        <v>44880.958333333336</v>
      </c>
      <c r="H441">
        <v>11</v>
      </c>
      <c r="I441">
        <v>2022</v>
      </c>
      <c r="J441" s="38"/>
      <c r="K441" t="s">
        <v>110</v>
      </c>
      <c r="L441" t="s">
        <v>401</v>
      </c>
      <c r="M441" t="s">
        <v>112</v>
      </c>
      <c r="O441"/>
      <c r="P441" t="s">
        <v>83</v>
      </c>
      <c r="Q441" t="s">
        <v>402</v>
      </c>
      <c r="R441" t="s">
        <v>403</v>
      </c>
      <c r="U441" t="b">
        <v>1</v>
      </c>
      <c r="V441" t="b">
        <v>1</v>
      </c>
      <c r="W441" t="b">
        <v>1</v>
      </c>
      <c r="Y441" s="38"/>
      <c r="AS441"/>
    </row>
    <row r="442" spans="1:45" x14ac:dyDescent="0.3">
      <c r="A442">
        <v>130</v>
      </c>
      <c r="B442" t="s">
        <v>71</v>
      </c>
      <c r="E442" t="s">
        <v>511</v>
      </c>
      <c r="F442" t="s">
        <v>17</v>
      </c>
      <c r="G442" s="39">
        <v>44880.958333333336</v>
      </c>
      <c r="H442">
        <v>11</v>
      </c>
      <c r="I442">
        <v>2022</v>
      </c>
      <c r="J442" s="38"/>
      <c r="K442" t="s">
        <v>110</v>
      </c>
      <c r="L442" t="s">
        <v>401</v>
      </c>
      <c r="M442" t="s">
        <v>439</v>
      </c>
      <c r="O442"/>
      <c r="P442" t="s">
        <v>83</v>
      </c>
      <c r="Q442" t="s">
        <v>94</v>
      </c>
      <c r="R442" t="s">
        <v>87</v>
      </c>
      <c r="U442" t="b">
        <v>1</v>
      </c>
      <c r="V442" t="b">
        <v>1</v>
      </c>
      <c r="W442" t="b">
        <v>1</v>
      </c>
      <c r="Y442" s="38"/>
      <c r="AS442"/>
    </row>
    <row r="443" spans="1:45" x14ac:dyDescent="0.3">
      <c r="A443">
        <v>129</v>
      </c>
      <c r="B443" t="s">
        <v>71</v>
      </c>
      <c r="E443" t="s">
        <v>510</v>
      </c>
      <c r="F443" t="s">
        <v>17</v>
      </c>
      <c r="G443" s="39">
        <v>44880.958333333336</v>
      </c>
      <c r="H443">
        <v>11</v>
      </c>
      <c r="I443">
        <v>2022</v>
      </c>
      <c r="J443" s="38"/>
      <c r="K443" t="s">
        <v>110</v>
      </c>
      <c r="L443" t="s">
        <v>401</v>
      </c>
      <c r="M443" t="s">
        <v>424</v>
      </c>
      <c r="O443"/>
      <c r="P443" t="s">
        <v>83</v>
      </c>
      <c r="Q443" t="s">
        <v>425</v>
      </c>
      <c r="R443" t="s">
        <v>97</v>
      </c>
      <c r="U443" t="b">
        <v>1</v>
      </c>
      <c r="V443" t="b">
        <v>1</v>
      </c>
      <c r="W443" t="b">
        <v>1</v>
      </c>
      <c r="Y443" s="38"/>
      <c r="AS443"/>
    </row>
    <row r="444" spans="1:45" x14ac:dyDescent="0.3">
      <c r="A444">
        <v>128</v>
      </c>
      <c r="B444" t="s">
        <v>71</v>
      </c>
      <c r="E444" t="s">
        <v>509</v>
      </c>
      <c r="F444" t="s">
        <v>17</v>
      </c>
      <c r="G444" s="39">
        <v>44880.958333333336</v>
      </c>
      <c r="H444">
        <v>11</v>
      </c>
      <c r="I444">
        <v>2022</v>
      </c>
      <c r="J444" s="38"/>
      <c r="K444" t="s">
        <v>121</v>
      </c>
      <c r="L444" t="s">
        <v>122</v>
      </c>
      <c r="M444" t="s">
        <v>14</v>
      </c>
      <c r="O444"/>
      <c r="P444" t="s">
        <v>34</v>
      </c>
      <c r="Q444" t="s">
        <v>290</v>
      </c>
      <c r="R444" t="s">
        <v>12</v>
      </c>
      <c r="U444" t="b">
        <v>1</v>
      </c>
      <c r="V444" t="b">
        <v>1</v>
      </c>
      <c r="W444" t="b">
        <v>1</v>
      </c>
      <c r="Y444" s="38"/>
      <c r="AS444"/>
    </row>
    <row r="445" spans="1:45" x14ac:dyDescent="0.3">
      <c r="A445">
        <v>127</v>
      </c>
      <c r="B445" t="s">
        <v>71</v>
      </c>
      <c r="E445" t="s">
        <v>508</v>
      </c>
      <c r="F445" t="s">
        <v>17</v>
      </c>
      <c r="G445" s="39">
        <v>44880.958333333336</v>
      </c>
      <c r="H445">
        <v>11</v>
      </c>
      <c r="I445">
        <v>2022</v>
      </c>
      <c r="J445" s="38"/>
      <c r="K445" t="s">
        <v>125</v>
      </c>
      <c r="L445" t="s">
        <v>126</v>
      </c>
      <c r="M445" t="s">
        <v>13</v>
      </c>
      <c r="O445"/>
      <c r="P445" t="s">
        <v>101</v>
      </c>
      <c r="Q445" t="s">
        <v>338</v>
      </c>
      <c r="R445" t="s">
        <v>132</v>
      </c>
      <c r="U445" t="b">
        <v>1</v>
      </c>
      <c r="V445" t="b">
        <v>1</v>
      </c>
      <c r="W445" t="b">
        <v>1</v>
      </c>
      <c r="Y445" s="38"/>
      <c r="AS445"/>
    </row>
    <row r="446" spans="1:45" x14ac:dyDescent="0.3">
      <c r="A446">
        <v>126</v>
      </c>
      <c r="B446" t="s">
        <v>71</v>
      </c>
      <c r="E446" t="s">
        <v>507</v>
      </c>
      <c r="F446" t="s">
        <v>17</v>
      </c>
      <c r="G446" s="39">
        <v>44880.958333333336</v>
      </c>
      <c r="H446">
        <v>11</v>
      </c>
      <c r="I446">
        <v>2022</v>
      </c>
      <c r="J446" s="38"/>
      <c r="K446" t="s">
        <v>125</v>
      </c>
      <c r="L446" t="s">
        <v>126</v>
      </c>
      <c r="M446" t="s">
        <v>378</v>
      </c>
      <c r="O446"/>
      <c r="P446" t="s">
        <v>34</v>
      </c>
      <c r="Q446" t="s">
        <v>379</v>
      </c>
      <c r="R446" t="s">
        <v>380</v>
      </c>
      <c r="U446" t="b">
        <v>1</v>
      </c>
      <c r="V446" t="b">
        <v>1</v>
      </c>
      <c r="W446" t="b">
        <v>1</v>
      </c>
      <c r="Y446" s="38"/>
      <c r="AS446"/>
    </row>
    <row r="447" spans="1:45" x14ac:dyDescent="0.3">
      <c r="A447">
        <v>125</v>
      </c>
      <c r="B447" t="s">
        <v>71</v>
      </c>
      <c r="E447" t="s">
        <v>506</v>
      </c>
      <c r="F447" t="s">
        <v>17</v>
      </c>
      <c r="G447" s="39">
        <v>44880.958333333336</v>
      </c>
      <c r="H447">
        <v>11</v>
      </c>
      <c r="I447">
        <v>2022</v>
      </c>
      <c r="J447" s="38"/>
      <c r="K447" t="s">
        <v>32</v>
      </c>
      <c r="L447" t="s">
        <v>480</v>
      </c>
      <c r="M447" t="s">
        <v>136</v>
      </c>
      <c r="O447"/>
      <c r="P447" t="s">
        <v>107</v>
      </c>
      <c r="Q447" t="s">
        <v>481</v>
      </c>
      <c r="R447" t="s">
        <v>482</v>
      </c>
      <c r="U447" t="b">
        <v>1</v>
      </c>
      <c r="V447" t="b">
        <v>1</v>
      </c>
      <c r="W447" t="b">
        <v>1</v>
      </c>
      <c r="Y447" s="38"/>
      <c r="AS447"/>
    </row>
    <row r="448" spans="1:45" x14ac:dyDescent="0.3">
      <c r="A448">
        <v>124</v>
      </c>
      <c r="B448" t="s">
        <v>71</v>
      </c>
      <c r="E448" t="s">
        <v>505</v>
      </c>
      <c r="F448" t="s">
        <v>17</v>
      </c>
      <c r="G448" s="39">
        <v>44876.958333333336</v>
      </c>
      <c r="H448">
        <v>11</v>
      </c>
      <c r="I448">
        <v>2022</v>
      </c>
      <c r="J448" s="38"/>
      <c r="K448" t="s">
        <v>113</v>
      </c>
      <c r="L448" t="s">
        <v>114</v>
      </c>
      <c r="M448" t="s">
        <v>115</v>
      </c>
      <c r="O448"/>
      <c r="P448" t="s">
        <v>34</v>
      </c>
      <c r="Q448" t="s">
        <v>116</v>
      </c>
      <c r="R448" t="s">
        <v>117</v>
      </c>
      <c r="U448" t="b">
        <v>1</v>
      </c>
      <c r="V448" t="b">
        <v>1</v>
      </c>
      <c r="W448" t="b">
        <v>1</v>
      </c>
      <c r="Y448" s="38"/>
      <c r="AS448"/>
    </row>
    <row r="449" spans="1:45" x14ac:dyDescent="0.3">
      <c r="A449">
        <v>123</v>
      </c>
      <c r="B449" t="s">
        <v>71</v>
      </c>
      <c r="E449" t="s">
        <v>504</v>
      </c>
      <c r="F449" t="s">
        <v>17</v>
      </c>
      <c r="G449" s="39">
        <v>44870.958333333336</v>
      </c>
      <c r="H449">
        <v>11</v>
      </c>
      <c r="I449">
        <v>2022</v>
      </c>
      <c r="J449" s="38"/>
      <c r="K449" t="s">
        <v>127</v>
      </c>
      <c r="L449" t="s">
        <v>341</v>
      </c>
      <c r="M449" t="s">
        <v>128</v>
      </c>
      <c r="O449"/>
      <c r="P449" t="s">
        <v>34</v>
      </c>
      <c r="Q449" t="s">
        <v>129</v>
      </c>
      <c r="R449" t="s">
        <v>12</v>
      </c>
      <c r="U449" t="b">
        <v>1</v>
      </c>
      <c r="V449" t="b">
        <v>1</v>
      </c>
      <c r="W449" t="b">
        <v>1</v>
      </c>
      <c r="Y449" s="38"/>
      <c r="AS449"/>
    </row>
    <row r="450" spans="1:45" x14ac:dyDescent="0.3">
      <c r="A450">
        <v>122</v>
      </c>
      <c r="B450" t="s">
        <v>71</v>
      </c>
      <c r="E450" t="s">
        <v>503</v>
      </c>
      <c r="F450" t="s">
        <v>17</v>
      </c>
      <c r="G450" s="39">
        <v>44866.958333333336</v>
      </c>
      <c r="H450">
        <v>11</v>
      </c>
      <c r="I450">
        <v>2022</v>
      </c>
      <c r="J450" s="38"/>
      <c r="K450" t="s">
        <v>82</v>
      </c>
      <c r="L450" t="s">
        <v>350</v>
      </c>
      <c r="M450" t="s">
        <v>282</v>
      </c>
      <c r="O450"/>
      <c r="P450" t="s">
        <v>83</v>
      </c>
      <c r="Q450" t="s">
        <v>283</v>
      </c>
      <c r="R450" t="s">
        <v>284</v>
      </c>
      <c r="U450" t="b">
        <v>1</v>
      </c>
      <c r="V450" t="b">
        <v>1</v>
      </c>
      <c r="W450" t="b">
        <v>1</v>
      </c>
      <c r="Y450" s="38"/>
      <c r="AS450"/>
    </row>
    <row r="451" spans="1:45" x14ac:dyDescent="0.3">
      <c r="A451">
        <v>121</v>
      </c>
      <c r="B451" t="s">
        <v>71</v>
      </c>
      <c r="E451" t="s">
        <v>502</v>
      </c>
      <c r="F451" t="s">
        <v>17</v>
      </c>
      <c r="G451" s="39">
        <v>44866.958333333336</v>
      </c>
      <c r="H451">
        <v>11</v>
      </c>
      <c r="I451">
        <v>2022</v>
      </c>
      <c r="J451" s="38"/>
      <c r="K451" t="s">
        <v>82</v>
      </c>
      <c r="L451" t="s">
        <v>350</v>
      </c>
      <c r="M451" t="s">
        <v>469</v>
      </c>
      <c r="O451"/>
      <c r="P451" t="s">
        <v>34</v>
      </c>
      <c r="Q451" t="s">
        <v>470</v>
      </c>
      <c r="R451" t="s">
        <v>31</v>
      </c>
      <c r="U451" t="b">
        <v>1</v>
      </c>
      <c r="V451" t="b">
        <v>1</v>
      </c>
      <c r="W451" t="b">
        <v>1</v>
      </c>
      <c r="Y451" s="38"/>
      <c r="AS451"/>
    </row>
    <row r="452" spans="1:45" x14ac:dyDescent="0.3">
      <c r="A452">
        <v>120</v>
      </c>
      <c r="B452" t="s">
        <v>71</v>
      </c>
      <c r="E452" t="s">
        <v>499</v>
      </c>
      <c r="F452" t="s">
        <v>17</v>
      </c>
      <c r="G452" s="39">
        <v>44866.958333333336</v>
      </c>
      <c r="H452">
        <v>11</v>
      </c>
      <c r="I452">
        <v>2022</v>
      </c>
      <c r="J452" s="38"/>
      <c r="K452" t="s">
        <v>14</v>
      </c>
      <c r="L452" t="s">
        <v>99</v>
      </c>
      <c r="M452" t="s">
        <v>100</v>
      </c>
      <c r="O452"/>
      <c r="P452" t="s">
        <v>101</v>
      </c>
      <c r="Q452" t="s">
        <v>500</v>
      </c>
      <c r="R452" t="s">
        <v>501</v>
      </c>
      <c r="U452" t="b">
        <v>1</v>
      </c>
      <c r="V452" t="b">
        <v>1</v>
      </c>
      <c r="W452" t="b">
        <v>1</v>
      </c>
      <c r="Y452" s="38"/>
      <c r="AS452"/>
    </row>
    <row r="453" spans="1:45" x14ac:dyDescent="0.3">
      <c r="A453">
        <v>119</v>
      </c>
      <c r="B453" t="s">
        <v>71</v>
      </c>
      <c r="E453" t="s">
        <v>498</v>
      </c>
      <c r="F453" t="s">
        <v>17</v>
      </c>
      <c r="G453" s="39">
        <v>44866.958333333336</v>
      </c>
      <c r="H453">
        <v>11</v>
      </c>
      <c r="I453">
        <v>2022</v>
      </c>
      <c r="J453" s="38"/>
      <c r="K453" t="s">
        <v>121</v>
      </c>
      <c r="L453" t="s">
        <v>122</v>
      </c>
      <c r="M453" t="s">
        <v>123</v>
      </c>
      <c r="O453"/>
      <c r="P453" t="s">
        <v>101</v>
      </c>
      <c r="Q453" t="s">
        <v>409</v>
      </c>
      <c r="R453" t="s">
        <v>124</v>
      </c>
      <c r="U453" t="b">
        <v>1</v>
      </c>
      <c r="V453" t="b">
        <v>1</v>
      </c>
      <c r="W453" t="b">
        <v>1</v>
      </c>
      <c r="Y453" s="38"/>
      <c r="AS453"/>
    </row>
    <row r="454" spans="1:45" x14ac:dyDescent="0.3">
      <c r="A454">
        <v>118</v>
      </c>
      <c r="B454" t="s">
        <v>71</v>
      </c>
      <c r="E454" t="s">
        <v>497</v>
      </c>
      <c r="F454" t="s">
        <v>17</v>
      </c>
      <c r="G454" s="39">
        <v>44866.958333333336</v>
      </c>
      <c r="H454">
        <v>11</v>
      </c>
      <c r="I454">
        <v>2022</v>
      </c>
      <c r="J454" s="38"/>
      <c r="K454" t="s">
        <v>125</v>
      </c>
      <c r="L454" t="s">
        <v>126</v>
      </c>
      <c r="M454" t="s">
        <v>378</v>
      </c>
      <c r="O454"/>
      <c r="P454" t="s">
        <v>34</v>
      </c>
      <c r="Q454" t="s">
        <v>379</v>
      </c>
      <c r="R454" t="s">
        <v>380</v>
      </c>
      <c r="U454" t="b">
        <v>1</v>
      </c>
      <c r="V454" t="b">
        <v>1</v>
      </c>
      <c r="W454" t="b">
        <v>1</v>
      </c>
      <c r="Y454" s="38"/>
      <c r="AS454"/>
    </row>
    <row r="455" spans="1:45" x14ac:dyDescent="0.3">
      <c r="A455">
        <v>117</v>
      </c>
      <c r="B455" t="s">
        <v>71</v>
      </c>
      <c r="E455" t="s">
        <v>496</v>
      </c>
      <c r="F455" t="s">
        <v>17</v>
      </c>
      <c r="G455" s="39">
        <v>44866.958333333336</v>
      </c>
      <c r="H455">
        <v>11</v>
      </c>
      <c r="I455">
        <v>2022</v>
      </c>
      <c r="J455" s="38"/>
      <c r="K455" t="s">
        <v>102</v>
      </c>
      <c r="L455" t="s">
        <v>103</v>
      </c>
      <c r="M455" t="s">
        <v>104</v>
      </c>
      <c r="O455"/>
      <c r="P455" t="s">
        <v>83</v>
      </c>
      <c r="Q455" t="s">
        <v>105</v>
      </c>
      <c r="R455" t="s">
        <v>87</v>
      </c>
      <c r="U455" t="b">
        <v>1</v>
      </c>
      <c r="V455" t="b">
        <v>1</v>
      </c>
      <c r="W455" t="b">
        <v>1</v>
      </c>
      <c r="Y455" s="38"/>
      <c r="AS455"/>
    </row>
    <row r="456" spans="1:45" x14ac:dyDescent="0.3">
      <c r="A456">
        <v>116</v>
      </c>
      <c r="B456" t="s">
        <v>71</v>
      </c>
      <c r="E456" t="s">
        <v>495</v>
      </c>
      <c r="F456" t="s">
        <v>436</v>
      </c>
      <c r="G456" s="39">
        <v>44865.958333333336</v>
      </c>
      <c r="H456">
        <v>11</v>
      </c>
      <c r="I456">
        <v>2022</v>
      </c>
      <c r="J456" s="38"/>
      <c r="K456" t="s">
        <v>127</v>
      </c>
      <c r="L456" t="s">
        <v>341</v>
      </c>
      <c r="M456" t="s">
        <v>128</v>
      </c>
      <c r="O456"/>
      <c r="P456" t="s">
        <v>34</v>
      </c>
      <c r="Q456" t="s">
        <v>129</v>
      </c>
      <c r="R456" t="s">
        <v>12</v>
      </c>
      <c r="U456" t="b">
        <v>1</v>
      </c>
      <c r="V456" t="b">
        <v>1</v>
      </c>
      <c r="W456" t="b">
        <v>1</v>
      </c>
      <c r="Y456" s="38"/>
      <c r="AS456"/>
    </row>
    <row r="457" spans="1:45" x14ac:dyDescent="0.3">
      <c r="A457">
        <v>114</v>
      </c>
      <c r="B457" t="s">
        <v>71</v>
      </c>
      <c r="E457" t="s">
        <v>492</v>
      </c>
      <c r="F457" t="s">
        <v>17</v>
      </c>
      <c r="G457" s="39">
        <v>44860.916666666664</v>
      </c>
      <c r="H457">
        <v>10</v>
      </c>
      <c r="I457">
        <v>2022</v>
      </c>
      <c r="J457" s="38"/>
      <c r="K457" t="s">
        <v>14</v>
      </c>
      <c r="L457" t="s">
        <v>99</v>
      </c>
      <c r="M457" t="s">
        <v>14</v>
      </c>
      <c r="O457"/>
      <c r="P457" t="s">
        <v>34</v>
      </c>
      <c r="Q457" t="s">
        <v>493</v>
      </c>
      <c r="R457" t="s">
        <v>494</v>
      </c>
      <c r="U457" t="b">
        <v>1</v>
      </c>
      <c r="V457" t="b">
        <v>1</v>
      </c>
      <c r="W457" t="b">
        <v>1</v>
      </c>
      <c r="Y457" s="38"/>
      <c r="AS457"/>
    </row>
    <row r="458" spans="1:45" x14ac:dyDescent="0.3">
      <c r="A458">
        <v>113</v>
      </c>
      <c r="B458" t="s">
        <v>71</v>
      </c>
      <c r="E458" t="s">
        <v>491</v>
      </c>
      <c r="F458" t="s">
        <v>17</v>
      </c>
      <c r="G458" s="39">
        <v>44856.916666666664</v>
      </c>
      <c r="H458">
        <v>10</v>
      </c>
      <c r="I458">
        <v>2022</v>
      </c>
      <c r="J458" s="38"/>
      <c r="K458" t="s">
        <v>89</v>
      </c>
      <c r="L458" t="s">
        <v>346</v>
      </c>
      <c r="M458" t="s">
        <v>93</v>
      </c>
      <c r="O458"/>
      <c r="P458" t="s">
        <v>83</v>
      </c>
      <c r="Q458" t="s">
        <v>94</v>
      </c>
      <c r="R458" t="s">
        <v>87</v>
      </c>
      <c r="U458" t="b">
        <v>1</v>
      </c>
      <c r="V458" t="b">
        <v>1</v>
      </c>
      <c r="W458" t="b">
        <v>1</v>
      </c>
      <c r="Y458" s="38"/>
      <c r="AS458"/>
    </row>
    <row r="459" spans="1:45" x14ac:dyDescent="0.3">
      <c r="A459">
        <v>112</v>
      </c>
      <c r="B459" t="s">
        <v>71</v>
      </c>
      <c r="E459" t="s">
        <v>490</v>
      </c>
      <c r="F459" t="s">
        <v>17</v>
      </c>
      <c r="G459" s="39">
        <v>44853.916666666664</v>
      </c>
      <c r="H459">
        <v>10</v>
      </c>
      <c r="I459">
        <v>2022</v>
      </c>
      <c r="J459" s="38"/>
      <c r="K459" t="s">
        <v>89</v>
      </c>
      <c r="L459" t="s">
        <v>346</v>
      </c>
      <c r="M459" t="s">
        <v>90</v>
      </c>
      <c r="O459"/>
      <c r="P459" t="s">
        <v>83</v>
      </c>
      <c r="Q459" t="s">
        <v>91</v>
      </c>
      <c r="R459" t="s">
        <v>92</v>
      </c>
      <c r="U459" t="b">
        <v>1</v>
      </c>
      <c r="V459" t="b">
        <v>1</v>
      </c>
      <c r="W459" t="b">
        <v>1</v>
      </c>
      <c r="Y459" s="38"/>
      <c r="AS459"/>
    </row>
    <row r="460" spans="1:45" x14ac:dyDescent="0.3">
      <c r="A460">
        <v>111</v>
      </c>
      <c r="B460" t="s">
        <v>71</v>
      </c>
      <c r="E460" t="s">
        <v>489</v>
      </c>
      <c r="F460" t="s">
        <v>17</v>
      </c>
      <c r="G460" s="39">
        <v>44852.916666666664</v>
      </c>
      <c r="H460">
        <v>10</v>
      </c>
      <c r="I460">
        <v>2022</v>
      </c>
      <c r="J460" s="38"/>
      <c r="K460" t="s">
        <v>89</v>
      </c>
      <c r="L460" t="s">
        <v>346</v>
      </c>
      <c r="M460" t="s">
        <v>95</v>
      </c>
      <c r="O460"/>
      <c r="P460" t="s">
        <v>83</v>
      </c>
      <c r="Q460" t="s">
        <v>96</v>
      </c>
      <c r="R460" t="s">
        <v>97</v>
      </c>
      <c r="U460" t="b">
        <v>1</v>
      </c>
      <c r="V460" t="b">
        <v>1</v>
      </c>
      <c r="W460" t="b">
        <v>1</v>
      </c>
      <c r="Y460" s="38"/>
      <c r="AS460"/>
    </row>
    <row r="461" spans="1:45" x14ac:dyDescent="0.3">
      <c r="A461">
        <v>110</v>
      </c>
      <c r="B461" t="s">
        <v>71</v>
      </c>
      <c r="E461" t="s">
        <v>488</v>
      </c>
      <c r="F461" t="s">
        <v>17</v>
      </c>
      <c r="G461" s="39">
        <v>44852.916666666664</v>
      </c>
      <c r="H461">
        <v>10</v>
      </c>
      <c r="I461">
        <v>2022</v>
      </c>
      <c r="J461" s="38"/>
      <c r="K461" t="s">
        <v>102</v>
      </c>
      <c r="L461" t="s">
        <v>103</v>
      </c>
      <c r="M461" t="s">
        <v>106</v>
      </c>
      <c r="O461"/>
      <c r="P461" t="s">
        <v>107</v>
      </c>
      <c r="Q461" t="s">
        <v>108</v>
      </c>
      <c r="R461" t="s">
        <v>109</v>
      </c>
      <c r="U461" t="b">
        <v>1</v>
      </c>
      <c r="V461" t="b">
        <v>1</v>
      </c>
      <c r="W461" t="b">
        <v>1</v>
      </c>
      <c r="Y461" s="38"/>
      <c r="AS461"/>
    </row>
    <row r="462" spans="1:45" x14ac:dyDescent="0.3">
      <c r="A462">
        <v>109</v>
      </c>
      <c r="B462" t="s">
        <v>71</v>
      </c>
      <c r="E462" t="s">
        <v>486</v>
      </c>
      <c r="F462" t="s">
        <v>430</v>
      </c>
      <c r="G462" s="39">
        <v>44845.916666666664</v>
      </c>
      <c r="H462">
        <v>10</v>
      </c>
      <c r="I462">
        <v>2022</v>
      </c>
      <c r="J462" s="38"/>
      <c r="K462" t="s">
        <v>33</v>
      </c>
      <c r="L462" t="s">
        <v>487</v>
      </c>
      <c r="M462" t="s">
        <v>88</v>
      </c>
      <c r="O462"/>
      <c r="P462" t="s">
        <v>83</v>
      </c>
      <c r="Q462" t="s">
        <v>481</v>
      </c>
      <c r="R462" t="s">
        <v>482</v>
      </c>
      <c r="U462" t="b">
        <v>1</v>
      </c>
      <c r="V462" t="b">
        <v>1</v>
      </c>
      <c r="W462" t="b">
        <v>1</v>
      </c>
      <c r="Y462" s="38"/>
      <c r="AS462"/>
    </row>
    <row r="463" spans="1:45" x14ac:dyDescent="0.3">
      <c r="A463">
        <v>108</v>
      </c>
      <c r="B463" t="s">
        <v>71</v>
      </c>
      <c r="E463" t="s">
        <v>485</v>
      </c>
      <c r="F463" t="s">
        <v>17</v>
      </c>
      <c r="G463" s="39">
        <v>44843.916666666664</v>
      </c>
      <c r="H463">
        <v>10</v>
      </c>
      <c r="I463">
        <v>2022</v>
      </c>
      <c r="J463" s="38"/>
      <c r="K463" t="s">
        <v>110</v>
      </c>
      <c r="L463" t="s">
        <v>401</v>
      </c>
      <c r="M463" t="s">
        <v>424</v>
      </c>
      <c r="O463"/>
      <c r="P463" t="s">
        <v>83</v>
      </c>
      <c r="Q463" t="s">
        <v>425</v>
      </c>
      <c r="R463" t="s">
        <v>97</v>
      </c>
      <c r="U463" t="b">
        <v>1</v>
      </c>
      <c r="V463" t="b">
        <v>1</v>
      </c>
      <c r="W463" t="b">
        <v>1</v>
      </c>
      <c r="Y463" s="38"/>
      <c r="AS463"/>
    </row>
    <row r="464" spans="1:45" x14ac:dyDescent="0.3">
      <c r="A464">
        <v>107</v>
      </c>
      <c r="B464" t="s">
        <v>71</v>
      </c>
      <c r="E464" t="s">
        <v>484</v>
      </c>
      <c r="F464" t="s">
        <v>17</v>
      </c>
      <c r="G464" s="39">
        <v>44843.916666666664</v>
      </c>
      <c r="H464">
        <v>10</v>
      </c>
      <c r="I464">
        <v>2022</v>
      </c>
      <c r="J464" s="38"/>
      <c r="K464" t="s">
        <v>113</v>
      </c>
      <c r="L464" t="s">
        <v>114</v>
      </c>
      <c r="M464" t="s">
        <v>115</v>
      </c>
      <c r="O464"/>
      <c r="P464" t="s">
        <v>34</v>
      </c>
      <c r="Q464" t="s">
        <v>116</v>
      </c>
      <c r="R464" t="s">
        <v>117</v>
      </c>
      <c r="U464" t="b">
        <v>1</v>
      </c>
      <c r="V464" t="b">
        <v>1</v>
      </c>
      <c r="W464" t="b">
        <v>1</v>
      </c>
      <c r="Y464" s="38"/>
      <c r="AS464"/>
    </row>
    <row r="465" spans="1:45" x14ac:dyDescent="0.3">
      <c r="A465">
        <v>106</v>
      </c>
      <c r="B465" t="s">
        <v>71</v>
      </c>
      <c r="E465" t="s">
        <v>483</v>
      </c>
      <c r="F465" t="s">
        <v>430</v>
      </c>
      <c r="G465" s="39">
        <v>44845.916666666664</v>
      </c>
      <c r="H465">
        <v>10</v>
      </c>
      <c r="I465">
        <v>2022</v>
      </c>
      <c r="J465" s="38"/>
      <c r="K465" t="s">
        <v>125</v>
      </c>
      <c r="L465" t="s">
        <v>126</v>
      </c>
      <c r="M465" t="s">
        <v>13</v>
      </c>
      <c r="O465"/>
      <c r="P465" t="s">
        <v>101</v>
      </c>
      <c r="Q465" t="s">
        <v>338</v>
      </c>
      <c r="R465" t="s">
        <v>132</v>
      </c>
      <c r="U465" t="b">
        <v>1</v>
      </c>
      <c r="V465" t="b">
        <v>1</v>
      </c>
      <c r="W465" t="b">
        <v>0</v>
      </c>
      <c r="Y465" s="38"/>
      <c r="AS465"/>
    </row>
    <row r="466" spans="1:45" x14ac:dyDescent="0.3">
      <c r="A466">
        <v>105</v>
      </c>
      <c r="B466" t="s">
        <v>71</v>
      </c>
      <c r="E466" t="s">
        <v>478</v>
      </c>
      <c r="F466" t="s">
        <v>479</v>
      </c>
      <c r="G466" s="39">
        <v>44844.916666666664</v>
      </c>
      <c r="H466">
        <v>10</v>
      </c>
      <c r="I466">
        <v>2022</v>
      </c>
      <c r="J466" s="38"/>
      <c r="K466" t="s">
        <v>32</v>
      </c>
      <c r="L466" t="s">
        <v>480</v>
      </c>
      <c r="M466" t="s">
        <v>136</v>
      </c>
      <c r="O466"/>
      <c r="P466" t="s">
        <v>107</v>
      </c>
      <c r="Q466" t="s">
        <v>481</v>
      </c>
      <c r="R466" t="s">
        <v>482</v>
      </c>
      <c r="U466" t="b">
        <v>1</v>
      </c>
      <c r="V466" t="b">
        <v>1</v>
      </c>
      <c r="W466" t="b">
        <v>1</v>
      </c>
      <c r="Y466" s="38"/>
      <c r="AS466"/>
    </row>
    <row r="467" spans="1:45" x14ac:dyDescent="0.3">
      <c r="A467">
        <v>104</v>
      </c>
      <c r="B467" t="s">
        <v>71</v>
      </c>
      <c r="E467" t="s">
        <v>477</v>
      </c>
      <c r="F467" t="s">
        <v>17</v>
      </c>
      <c r="G467" s="39">
        <v>44840.916666666664</v>
      </c>
      <c r="H467">
        <v>10</v>
      </c>
      <c r="I467">
        <v>2022</v>
      </c>
      <c r="J467" s="38"/>
      <c r="K467" t="s">
        <v>102</v>
      </c>
      <c r="L467" t="s">
        <v>103</v>
      </c>
      <c r="M467" t="s">
        <v>104</v>
      </c>
      <c r="O467"/>
      <c r="P467" t="s">
        <v>83</v>
      </c>
      <c r="Q467" t="s">
        <v>105</v>
      </c>
      <c r="R467" t="s">
        <v>87</v>
      </c>
      <c r="U467" t="b">
        <v>1</v>
      </c>
      <c r="V467" t="b">
        <v>1</v>
      </c>
      <c r="W467" t="b">
        <v>1</v>
      </c>
      <c r="Y467" s="38"/>
      <c r="AS467"/>
    </row>
    <row r="468" spans="1:45" x14ac:dyDescent="0.3">
      <c r="A468">
        <v>103</v>
      </c>
      <c r="B468" t="s">
        <v>71</v>
      </c>
      <c r="E468" t="s">
        <v>476</v>
      </c>
      <c r="F468" t="s">
        <v>17</v>
      </c>
      <c r="G468" s="39">
        <v>44842.916666666664</v>
      </c>
      <c r="H468">
        <v>10</v>
      </c>
      <c r="I468">
        <v>2022</v>
      </c>
      <c r="J468" s="38"/>
      <c r="K468" t="s">
        <v>110</v>
      </c>
      <c r="L468" t="s">
        <v>401</v>
      </c>
      <c r="M468" t="s">
        <v>111</v>
      </c>
      <c r="O468"/>
      <c r="P468" t="s">
        <v>101</v>
      </c>
      <c r="Q468" t="s">
        <v>415</v>
      </c>
      <c r="R468" t="s">
        <v>416</v>
      </c>
      <c r="U468" t="b">
        <v>1</v>
      </c>
      <c r="V468" t="b">
        <v>1</v>
      </c>
      <c r="W468" t="b">
        <v>1</v>
      </c>
      <c r="Y468" s="38"/>
      <c r="AS468"/>
    </row>
    <row r="469" spans="1:45" x14ac:dyDescent="0.3">
      <c r="A469">
        <v>102</v>
      </c>
      <c r="B469" t="s">
        <v>71</v>
      </c>
      <c r="E469" t="s">
        <v>475</v>
      </c>
      <c r="F469" t="s">
        <v>17</v>
      </c>
      <c r="G469" s="39">
        <v>44841.916666666664</v>
      </c>
      <c r="H469">
        <v>10</v>
      </c>
      <c r="I469">
        <v>2022</v>
      </c>
      <c r="J469" s="38"/>
      <c r="K469" t="s">
        <v>110</v>
      </c>
      <c r="L469" t="s">
        <v>401</v>
      </c>
      <c r="M469" t="s">
        <v>112</v>
      </c>
      <c r="O469"/>
      <c r="P469" t="s">
        <v>83</v>
      </c>
      <c r="Q469" t="s">
        <v>402</v>
      </c>
      <c r="R469" t="s">
        <v>403</v>
      </c>
      <c r="U469" t="b">
        <v>1</v>
      </c>
      <c r="V469" t="b">
        <v>1</v>
      </c>
      <c r="W469" t="b">
        <v>1</v>
      </c>
      <c r="Y469" s="38"/>
      <c r="AS469"/>
    </row>
    <row r="470" spans="1:45" x14ac:dyDescent="0.3">
      <c r="A470">
        <v>101</v>
      </c>
      <c r="B470" t="s">
        <v>71</v>
      </c>
      <c r="E470" t="s">
        <v>474</v>
      </c>
      <c r="F470" t="s">
        <v>17</v>
      </c>
      <c r="G470" s="39">
        <v>44835.916666666664</v>
      </c>
      <c r="H470">
        <v>10</v>
      </c>
      <c r="I470">
        <v>2022</v>
      </c>
      <c r="J470" s="38"/>
      <c r="K470" t="s">
        <v>110</v>
      </c>
      <c r="L470" t="s">
        <v>401</v>
      </c>
      <c r="M470" t="s">
        <v>439</v>
      </c>
      <c r="O470"/>
      <c r="P470" t="s">
        <v>83</v>
      </c>
      <c r="Q470" t="s">
        <v>94</v>
      </c>
      <c r="R470" t="s">
        <v>87</v>
      </c>
      <c r="U470" t="b">
        <v>1</v>
      </c>
      <c r="V470" t="b">
        <v>1</v>
      </c>
      <c r="W470" t="b">
        <v>1</v>
      </c>
      <c r="Y470" s="38"/>
      <c r="AS470"/>
    </row>
    <row r="471" spans="1:45" x14ac:dyDescent="0.3">
      <c r="A471">
        <v>100</v>
      </c>
      <c r="B471" t="s">
        <v>71</v>
      </c>
      <c r="E471" t="s">
        <v>472</v>
      </c>
      <c r="F471" t="s">
        <v>17</v>
      </c>
      <c r="G471" s="39">
        <v>44839.916666666664</v>
      </c>
      <c r="H471">
        <v>10</v>
      </c>
      <c r="I471">
        <v>2022</v>
      </c>
      <c r="J471" s="38"/>
      <c r="K471" t="s">
        <v>118</v>
      </c>
      <c r="L471" t="s">
        <v>119</v>
      </c>
      <c r="M471" t="s">
        <v>120</v>
      </c>
      <c r="O471"/>
      <c r="P471" t="s">
        <v>83</v>
      </c>
      <c r="Q471" t="s">
        <v>473</v>
      </c>
      <c r="R471" t="s">
        <v>87</v>
      </c>
      <c r="U471" t="b">
        <v>1</v>
      </c>
      <c r="V471" t="b">
        <v>1</v>
      </c>
      <c r="W471" t="b">
        <v>1</v>
      </c>
      <c r="Y471" s="38"/>
      <c r="AS471"/>
    </row>
    <row r="472" spans="1:45" x14ac:dyDescent="0.3">
      <c r="A472">
        <v>99</v>
      </c>
      <c r="B472" t="s">
        <v>71</v>
      </c>
      <c r="E472" t="s">
        <v>471</v>
      </c>
      <c r="F472" t="s">
        <v>17</v>
      </c>
      <c r="G472" s="39">
        <v>44832.916666666664</v>
      </c>
      <c r="H472">
        <v>9</v>
      </c>
      <c r="I472">
        <v>2022</v>
      </c>
      <c r="J472" s="38"/>
      <c r="K472" t="s">
        <v>84</v>
      </c>
      <c r="L472" t="s">
        <v>369</v>
      </c>
      <c r="M472" t="s">
        <v>85</v>
      </c>
      <c r="O472"/>
      <c r="P472" t="s">
        <v>83</v>
      </c>
      <c r="Q472" t="s">
        <v>86</v>
      </c>
      <c r="R472" t="s">
        <v>87</v>
      </c>
      <c r="U472" t="b">
        <v>1</v>
      </c>
      <c r="V472" t="b">
        <v>1</v>
      </c>
      <c r="W472" t="b">
        <v>1</v>
      </c>
      <c r="Y472" s="38"/>
      <c r="AS472"/>
    </row>
    <row r="473" spans="1:45" x14ac:dyDescent="0.3">
      <c r="A473">
        <v>98</v>
      </c>
      <c r="B473" t="s">
        <v>71</v>
      </c>
      <c r="E473" t="s">
        <v>468</v>
      </c>
      <c r="F473" t="s">
        <v>17</v>
      </c>
      <c r="G473" s="39">
        <v>44833.916666666664</v>
      </c>
      <c r="H473">
        <v>9</v>
      </c>
      <c r="I473">
        <v>2022</v>
      </c>
      <c r="J473" s="38"/>
      <c r="K473" t="s">
        <v>82</v>
      </c>
      <c r="L473" t="s">
        <v>350</v>
      </c>
      <c r="M473" t="s">
        <v>469</v>
      </c>
      <c r="O473"/>
      <c r="P473" t="s">
        <v>34</v>
      </c>
      <c r="Q473" t="s">
        <v>470</v>
      </c>
      <c r="R473" t="s">
        <v>31</v>
      </c>
      <c r="U473" t="b">
        <v>1</v>
      </c>
      <c r="V473" t="b">
        <v>1</v>
      </c>
      <c r="W473" t="b">
        <v>1</v>
      </c>
      <c r="Y473" s="38"/>
      <c r="AS473"/>
    </row>
    <row r="474" spans="1:45" x14ac:dyDescent="0.3">
      <c r="A474">
        <v>97</v>
      </c>
      <c r="B474" t="s">
        <v>71</v>
      </c>
      <c r="E474" t="s">
        <v>467</v>
      </c>
      <c r="F474" t="s">
        <v>17</v>
      </c>
      <c r="G474" s="39">
        <v>44830.916666666664</v>
      </c>
      <c r="H474">
        <v>9</v>
      </c>
      <c r="I474">
        <v>2022</v>
      </c>
      <c r="J474" s="38"/>
      <c r="K474" t="s">
        <v>82</v>
      </c>
      <c r="L474" t="s">
        <v>350</v>
      </c>
      <c r="M474" t="s">
        <v>282</v>
      </c>
      <c r="O474"/>
      <c r="P474" t="s">
        <v>83</v>
      </c>
      <c r="Q474" t="s">
        <v>283</v>
      </c>
      <c r="R474" t="s">
        <v>284</v>
      </c>
      <c r="U474" t="b">
        <v>1</v>
      </c>
      <c r="V474" t="b">
        <v>1</v>
      </c>
      <c r="W474" t="b">
        <v>1</v>
      </c>
      <c r="Y474" s="38"/>
      <c r="AS474"/>
    </row>
    <row r="475" spans="1:45" x14ac:dyDescent="0.3">
      <c r="A475">
        <v>96</v>
      </c>
      <c r="B475" t="s">
        <v>71</v>
      </c>
      <c r="E475" t="s">
        <v>466</v>
      </c>
      <c r="F475" t="s">
        <v>17</v>
      </c>
      <c r="G475" s="39">
        <v>44830.916666666664</v>
      </c>
      <c r="H475">
        <v>9</v>
      </c>
      <c r="I475">
        <v>2022</v>
      </c>
      <c r="J475" s="38"/>
      <c r="K475" t="s">
        <v>362</v>
      </c>
      <c r="L475" t="s">
        <v>363</v>
      </c>
      <c r="M475" t="s">
        <v>364</v>
      </c>
      <c r="O475"/>
      <c r="P475" t="s">
        <v>83</v>
      </c>
      <c r="Q475" t="s">
        <v>365</v>
      </c>
      <c r="R475" t="s">
        <v>366</v>
      </c>
      <c r="U475" t="b">
        <v>0</v>
      </c>
      <c r="V475" t="b">
        <v>1</v>
      </c>
      <c r="W475" t="b">
        <v>1</v>
      </c>
      <c r="Y475" s="38"/>
      <c r="AS475"/>
    </row>
    <row r="476" spans="1:45" x14ac:dyDescent="0.3">
      <c r="A476">
        <v>95</v>
      </c>
      <c r="B476" t="s">
        <v>71</v>
      </c>
      <c r="E476" t="s">
        <v>465</v>
      </c>
      <c r="F476" t="s">
        <v>17</v>
      </c>
      <c r="G476" s="39">
        <v>44829.916666666664</v>
      </c>
      <c r="H476">
        <v>9</v>
      </c>
      <c r="I476">
        <v>2022</v>
      </c>
      <c r="J476" s="38"/>
      <c r="K476" t="s">
        <v>84</v>
      </c>
      <c r="L476" t="s">
        <v>369</v>
      </c>
      <c r="M476" t="s">
        <v>85</v>
      </c>
      <c r="O476"/>
      <c r="P476" t="s">
        <v>83</v>
      </c>
      <c r="Q476" t="s">
        <v>86</v>
      </c>
      <c r="R476" t="s">
        <v>87</v>
      </c>
      <c r="U476" t="b">
        <v>0</v>
      </c>
      <c r="V476" t="b">
        <v>1</v>
      </c>
      <c r="W476" t="b">
        <v>1</v>
      </c>
      <c r="Y476" s="38"/>
      <c r="AS476"/>
    </row>
    <row r="477" spans="1:45" x14ac:dyDescent="0.3">
      <c r="A477">
        <v>94</v>
      </c>
      <c r="B477" t="s">
        <v>71</v>
      </c>
      <c r="E477" t="s">
        <v>464</v>
      </c>
      <c r="F477" t="s">
        <v>17</v>
      </c>
      <c r="G477" s="39">
        <v>44829.916666666664</v>
      </c>
      <c r="H477">
        <v>9</v>
      </c>
      <c r="I477">
        <v>2022</v>
      </c>
      <c r="J477" s="38"/>
      <c r="K477" t="s">
        <v>102</v>
      </c>
      <c r="L477" t="s">
        <v>103</v>
      </c>
      <c r="M477" t="s">
        <v>104</v>
      </c>
      <c r="O477"/>
      <c r="P477" t="s">
        <v>83</v>
      </c>
      <c r="Q477" t="s">
        <v>105</v>
      </c>
      <c r="R477" t="s">
        <v>87</v>
      </c>
      <c r="U477" t="b">
        <v>0</v>
      </c>
      <c r="V477" t="b">
        <v>1</v>
      </c>
      <c r="W477" t="b">
        <v>1</v>
      </c>
      <c r="Y477" s="38"/>
      <c r="AS477"/>
    </row>
    <row r="478" spans="1:45" x14ac:dyDescent="0.3">
      <c r="A478">
        <v>93</v>
      </c>
      <c r="B478" t="s">
        <v>71</v>
      </c>
      <c r="E478" t="s">
        <v>463</v>
      </c>
      <c r="F478" t="s">
        <v>17</v>
      </c>
      <c r="G478" s="39">
        <v>44829.916666666664</v>
      </c>
      <c r="H478">
        <v>9</v>
      </c>
      <c r="I478">
        <v>2022</v>
      </c>
      <c r="J478" s="38"/>
      <c r="K478" t="s">
        <v>102</v>
      </c>
      <c r="L478" t="s">
        <v>103</v>
      </c>
      <c r="M478" t="s">
        <v>106</v>
      </c>
      <c r="O478"/>
      <c r="P478" t="s">
        <v>107</v>
      </c>
      <c r="Q478" t="s">
        <v>108</v>
      </c>
      <c r="R478" t="s">
        <v>109</v>
      </c>
      <c r="U478" t="b">
        <v>1</v>
      </c>
      <c r="V478" t="b">
        <v>1</v>
      </c>
      <c r="W478" t="b">
        <v>1</v>
      </c>
      <c r="Y478" s="38"/>
      <c r="AS478"/>
    </row>
    <row r="479" spans="1:45" x14ac:dyDescent="0.3">
      <c r="A479">
        <v>92</v>
      </c>
      <c r="B479" t="s">
        <v>71</v>
      </c>
      <c r="E479" t="s">
        <v>462</v>
      </c>
      <c r="F479" t="s">
        <v>17</v>
      </c>
      <c r="G479" s="39">
        <v>44829.916666666664</v>
      </c>
      <c r="H479">
        <v>9</v>
      </c>
      <c r="I479">
        <v>2022</v>
      </c>
      <c r="J479" s="38"/>
      <c r="K479" t="s">
        <v>84</v>
      </c>
      <c r="L479" t="s">
        <v>369</v>
      </c>
      <c r="M479" t="s">
        <v>85</v>
      </c>
      <c r="O479"/>
      <c r="P479" t="s">
        <v>83</v>
      </c>
      <c r="Q479" t="s">
        <v>86</v>
      </c>
      <c r="R479" t="s">
        <v>87</v>
      </c>
      <c r="U479" t="b">
        <v>0</v>
      </c>
      <c r="V479" t="b">
        <v>1</v>
      </c>
      <c r="W479" t="b">
        <v>1</v>
      </c>
      <c r="Y479" s="38"/>
      <c r="AS479"/>
    </row>
    <row r="480" spans="1:45" x14ac:dyDescent="0.3">
      <c r="A480">
        <v>91</v>
      </c>
      <c r="B480" t="s">
        <v>71</v>
      </c>
      <c r="E480" t="s">
        <v>461</v>
      </c>
      <c r="F480" t="s">
        <v>17</v>
      </c>
      <c r="G480" s="39">
        <v>44827.916666666664</v>
      </c>
      <c r="H480">
        <v>9</v>
      </c>
      <c r="I480">
        <v>2022</v>
      </c>
      <c r="J480" s="38"/>
      <c r="K480" t="s">
        <v>148</v>
      </c>
      <c r="L480" t="s">
        <v>375</v>
      </c>
      <c r="M480" t="s">
        <v>154</v>
      </c>
      <c r="O480"/>
      <c r="P480" t="s">
        <v>83</v>
      </c>
      <c r="Q480" t="s">
        <v>96</v>
      </c>
      <c r="R480" t="s">
        <v>97</v>
      </c>
      <c r="U480" t="b">
        <v>1</v>
      </c>
      <c r="V480" t="b">
        <v>1</v>
      </c>
      <c r="W480" t="b">
        <v>1</v>
      </c>
      <c r="Y480" s="38"/>
      <c r="AS480"/>
    </row>
    <row r="481" spans="1:45" x14ac:dyDescent="0.3">
      <c r="A481">
        <v>90</v>
      </c>
      <c r="B481" t="s">
        <v>71</v>
      </c>
      <c r="E481" t="s">
        <v>460</v>
      </c>
      <c r="F481" t="s">
        <v>17</v>
      </c>
      <c r="G481" s="39">
        <v>44822.916666666664</v>
      </c>
      <c r="H481">
        <v>9</v>
      </c>
      <c r="I481">
        <v>2022</v>
      </c>
      <c r="J481" s="38"/>
      <c r="K481" t="s">
        <v>102</v>
      </c>
      <c r="L481" t="s">
        <v>103</v>
      </c>
      <c r="M481" t="s">
        <v>104</v>
      </c>
      <c r="O481"/>
      <c r="P481" t="s">
        <v>83</v>
      </c>
      <c r="Q481" t="s">
        <v>105</v>
      </c>
      <c r="R481" t="s">
        <v>87</v>
      </c>
      <c r="U481" t="b">
        <v>0</v>
      </c>
      <c r="V481" t="b">
        <v>1</v>
      </c>
      <c r="W481" t="b">
        <v>1</v>
      </c>
      <c r="Y481" s="38"/>
      <c r="AS481"/>
    </row>
    <row r="482" spans="1:45" x14ac:dyDescent="0.3">
      <c r="A482">
        <v>89</v>
      </c>
      <c r="B482" t="s">
        <v>71</v>
      </c>
      <c r="E482" t="s">
        <v>459</v>
      </c>
      <c r="F482" t="s">
        <v>17</v>
      </c>
      <c r="G482" s="39">
        <v>44822.916666666664</v>
      </c>
      <c r="H482">
        <v>9</v>
      </c>
      <c r="I482">
        <v>2022</v>
      </c>
      <c r="J482" s="38"/>
      <c r="K482" t="s">
        <v>102</v>
      </c>
      <c r="L482" t="s">
        <v>103</v>
      </c>
      <c r="M482" t="s">
        <v>104</v>
      </c>
      <c r="O482"/>
      <c r="P482" t="s">
        <v>83</v>
      </c>
      <c r="Q482" t="s">
        <v>105</v>
      </c>
      <c r="R482" t="s">
        <v>87</v>
      </c>
      <c r="U482" t="b">
        <v>1</v>
      </c>
      <c r="V482" t="b">
        <v>1</v>
      </c>
      <c r="W482" t="b">
        <v>1</v>
      </c>
      <c r="Y482" s="38"/>
      <c r="AS482"/>
    </row>
    <row r="483" spans="1:45" x14ac:dyDescent="0.3">
      <c r="A483">
        <v>88</v>
      </c>
      <c r="B483" t="s">
        <v>71</v>
      </c>
      <c r="E483" t="s">
        <v>458</v>
      </c>
      <c r="F483" t="s">
        <v>17</v>
      </c>
      <c r="G483" s="39">
        <v>44822.916666666664</v>
      </c>
      <c r="H483">
        <v>9</v>
      </c>
      <c r="I483">
        <v>2022</v>
      </c>
      <c r="J483" s="38"/>
      <c r="K483" t="s">
        <v>102</v>
      </c>
      <c r="L483" t="s">
        <v>103</v>
      </c>
      <c r="M483" t="s">
        <v>104</v>
      </c>
      <c r="O483"/>
      <c r="P483" t="s">
        <v>83</v>
      </c>
      <c r="Q483" t="s">
        <v>105</v>
      </c>
      <c r="R483" t="s">
        <v>87</v>
      </c>
      <c r="U483" t="b">
        <v>1</v>
      </c>
      <c r="V483" t="b">
        <v>1</v>
      </c>
      <c r="W483" t="b">
        <v>1</v>
      </c>
      <c r="Y483" s="38"/>
      <c r="AS483"/>
    </row>
    <row r="484" spans="1:45" x14ac:dyDescent="0.3">
      <c r="A484">
        <v>87</v>
      </c>
      <c r="B484" t="s">
        <v>71</v>
      </c>
      <c r="E484" t="s">
        <v>457</v>
      </c>
      <c r="F484" t="s">
        <v>17</v>
      </c>
      <c r="G484" s="39">
        <v>44823.916666666664</v>
      </c>
      <c r="H484">
        <v>9</v>
      </c>
      <c r="I484">
        <v>2022</v>
      </c>
      <c r="J484" s="38"/>
      <c r="K484" t="s">
        <v>102</v>
      </c>
      <c r="L484" t="s">
        <v>103</v>
      </c>
      <c r="M484" t="s">
        <v>104</v>
      </c>
      <c r="O484"/>
      <c r="P484" t="s">
        <v>83</v>
      </c>
      <c r="Q484" t="s">
        <v>105</v>
      </c>
      <c r="R484" t="s">
        <v>87</v>
      </c>
      <c r="U484" t="b">
        <v>0</v>
      </c>
      <c r="V484" t="b">
        <v>1</v>
      </c>
      <c r="W484" t="b">
        <v>1</v>
      </c>
      <c r="Y484" s="38"/>
      <c r="AS484"/>
    </row>
    <row r="485" spans="1:45" x14ac:dyDescent="0.3">
      <c r="A485">
        <v>86</v>
      </c>
      <c r="B485" t="s">
        <v>71</v>
      </c>
      <c r="E485" t="s">
        <v>456</v>
      </c>
      <c r="F485" t="s">
        <v>17</v>
      </c>
      <c r="G485" s="39">
        <v>44823.916666666664</v>
      </c>
      <c r="H485">
        <v>9</v>
      </c>
      <c r="I485">
        <v>2022</v>
      </c>
      <c r="J485" s="38"/>
      <c r="K485" t="s">
        <v>102</v>
      </c>
      <c r="L485" t="s">
        <v>103</v>
      </c>
      <c r="M485" t="s">
        <v>104</v>
      </c>
      <c r="O485"/>
      <c r="P485" t="s">
        <v>83</v>
      </c>
      <c r="Q485" t="s">
        <v>105</v>
      </c>
      <c r="R485" t="s">
        <v>87</v>
      </c>
      <c r="U485" t="b">
        <v>0</v>
      </c>
      <c r="V485" t="b">
        <v>1</v>
      </c>
      <c r="W485" t="b">
        <v>1</v>
      </c>
      <c r="Y485" s="38"/>
      <c r="AS485"/>
    </row>
    <row r="486" spans="1:45" x14ac:dyDescent="0.3">
      <c r="A486">
        <v>85</v>
      </c>
      <c r="B486" t="s">
        <v>71</v>
      </c>
      <c r="E486" t="s">
        <v>455</v>
      </c>
      <c r="F486" t="s">
        <v>430</v>
      </c>
      <c r="G486" s="39">
        <v>44822.916666666664</v>
      </c>
      <c r="H486">
        <v>9</v>
      </c>
      <c r="I486">
        <v>2022</v>
      </c>
      <c r="J486" s="38"/>
      <c r="K486" t="s">
        <v>89</v>
      </c>
      <c r="L486" t="s">
        <v>346</v>
      </c>
      <c r="M486" t="s">
        <v>154</v>
      </c>
      <c r="O486"/>
      <c r="P486" t="s">
        <v>83</v>
      </c>
      <c r="Q486" t="s">
        <v>96</v>
      </c>
      <c r="R486" t="s">
        <v>97</v>
      </c>
      <c r="U486" t="b">
        <v>1</v>
      </c>
      <c r="V486" t="b">
        <v>1</v>
      </c>
      <c r="W486" t="b">
        <v>1</v>
      </c>
      <c r="Y486" s="38"/>
      <c r="AS486"/>
    </row>
    <row r="487" spans="1:45" x14ac:dyDescent="0.3">
      <c r="A487">
        <v>84</v>
      </c>
      <c r="B487" t="s">
        <v>71</v>
      </c>
      <c r="E487" t="s">
        <v>454</v>
      </c>
      <c r="F487" t="s">
        <v>17</v>
      </c>
      <c r="G487" s="39">
        <v>44823.916666666664</v>
      </c>
      <c r="H487">
        <v>9</v>
      </c>
      <c r="I487">
        <v>2022</v>
      </c>
      <c r="J487" s="38"/>
      <c r="K487" t="s">
        <v>89</v>
      </c>
      <c r="L487" t="s">
        <v>346</v>
      </c>
      <c r="M487" t="s">
        <v>95</v>
      </c>
      <c r="O487"/>
      <c r="P487" t="s">
        <v>83</v>
      </c>
      <c r="Q487" t="s">
        <v>96</v>
      </c>
      <c r="R487" t="s">
        <v>97</v>
      </c>
      <c r="U487" t="b">
        <v>1</v>
      </c>
      <c r="V487" t="b">
        <v>1</v>
      </c>
      <c r="W487" t="b">
        <v>1</v>
      </c>
      <c r="Y487" s="38"/>
      <c r="AS487"/>
    </row>
    <row r="488" spans="1:45" x14ac:dyDescent="0.3">
      <c r="A488">
        <v>83</v>
      </c>
      <c r="B488" t="s">
        <v>71</v>
      </c>
      <c r="E488" t="s">
        <v>453</v>
      </c>
      <c r="F488" t="s">
        <v>17</v>
      </c>
      <c r="G488" s="39">
        <v>44822.916666666664</v>
      </c>
      <c r="H488">
        <v>9</v>
      </c>
      <c r="I488">
        <v>2022</v>
      </c>
      <c r="J488" s="38"/>
      <c r="K488" t="s">
        <v>102</v>
      </c>
      <c r="L488" t="s">
        <v>103</v>
      </c>
      <c r="M488" t="s">
        <v>104</v>
      </c>
      <c r="O488"/>
      <c r="P488" t="s">
        <v>83</v>
      </c>
      <c r="Q488" t="s">
        <v>105</v>
      </c>
      <c r="R488" t="s">
        <v>87</v>
      </c>
      <c r="U488" t="b">
        <v>1</v>
      </c>
      <c r="V488" t="b">
        <v>1</v>
      </c>
      <c r="W488" t="b">
        <v>1</v>
      </c>
      <c r="Y488" s="38"/>
      <c r="AS488"/>
    </row>
    <row r="489" spans="1:45" x14ac:dyDescent="0.3">
      <c r="A489">
        <v>82</v>
      </c>
      <c r="B489" t="s">
        <v>71</v>
      </c>
      <c r="E489" t="s">
        <v>452</v>
      </c>
      <c r="F489" t="s">
        <v>17</v>
      </c>
      <c r="G489" s="39">
        <v>44823.916666666664</v>
      </c>
      <c r="H489">
        <v>9</v>
      </c>
      <c r="I489">
        <v>2022</v>
      </c>
      <c r="J489" s="38"/>
      <c r="K489" t="s">
        <v>110</v>
      </c>
      <c r="L489" t="s">
        <v>401</v>
      </c>
      <c r="M489" t="s">
        <v>111</v>
      </c>
      <c r="O489"/>
      <c r="P489" t="s">
        <v>101</v>
      </c>
      <c r="Q489" t="s">
        <v>415</v>
      </c>
      <c r="R489" t="s">
        <v>416</v>
      </c>
      <c r="U489" t="b">
        <v>0</v>
      </c>
      <c r="V489" t="b">
        <v>1</v>
      </c>
      <c r="W489" t="b">
        <v>1</v>
      </c>
      <c r="Y489" s="38"/>
      <c r="AS489"/>
    </row>
    <row r="490" spans="1:45" x14ac:dyDescent="0.3">
      <c r="A490">
        <v>81</v>
      </c>
      <c r="B490" t="s">
        <v>71</v>
      </c>
      <c r="E490" t="s">
        <v>451</v>
      </c>
      <c r="F490" t="s">
        <v>17</v>
      </c>
      <c r="G490" s="39">
        <v>44823.916666666664</v>
      </c>
      <c r="H490">
        <v>9</v>
      </c>
      <c r="I490">
        <v>2022</v>
      </c>
      <c r="J490" s="38"/>
      <c r="K490" t="s">
        <v>102</v>
      </c>
      <c r="L490" t="s">
        <v>103</v>
      </c>
      <c r="M490" t="s">
        <v>104</v>
      </c>
      <c r="O490"/>
      <c r="P490" t="s">
        <v>83</v>
      </c>
      <c r="Q490" t="s">
        <v>105</v>
      </c>
      <c r="R490" t="s">
        <v>87</v>
      </c>
      <c r="U490" t="b">
        <v>1</v>
      </c>
      <c r="V490" t="b">
        <v>1</v>
      </c>
      <c r="W490" t="b">
        <v>1</v>
      </c>
      <c r="Y490" s="38"/>
      <c r="AS490"/>
    </row>
    <row r="491" spans="1:45" x14ac:dyDescent="0.3">
      <c r="A491">
        <v>80</v>
      </c>
      <c r="B491" t="s">
        <v>71</v>
      </c>
      <c r="E491" t="s">
        <v>450</v>
      </c>
      <c r="F491" t="s">
        <v>17</v>
      </c>
      <c r="G491" s="39">
        <v>44813.916666666664</v>
      </c>
      <c r="H491">
        <v>9</v>
      </c>
      <c r="I491">
        <v>2022</v>
      </c>
      <c r="J491" s="38"/>
      <c r="K491" t="s">
        <v>110</v>
      </c>
      <c r="L491" t="s">
        <v>401</v>
      </c>
      <c r="M491" t="s">
        <v>112</v>
      </c>
      <c r="O491"/>
      <c r="P491" t="s">
        <v>83</v>
      </c>
      <c r="Q491" t="s">
        <v>402</v>
      </c>
      <c r="R491" t="s">
        <v>403</v>
      </c>
      <c r="U491" t="b">
        <v>1</v>
      </c>
      <c r="V491" t="b">
        <v>1</v>
      </c>
      <c r="W491" t="b">
        <v>1</v>
      </c>
      <c r="Y491" s="38"/>
      <c r="AS491"/>
    </row>
    <row r="492" spans="1:45" x14ac:dyDescent="0.3">
      <c r="A492">
        <v>79</v>
      </c>
      <c r="B492" t="s">
        <v>71</v>
      </c>
      <c r="E492" t="s">
        <v>449</v>
      </c>
      <c r="F492" t="s">
        <v>17</v>
      </c>
      <c r="G492" s="39">
        <v>44813.916666666664</v>
      </c>
      <c r="H492">
        <v>9</v>
      </c>
      <c r="I492">
        <v>2022</v>
      </c>
      <c r="J492" s="38"/>
      <c r="K492" t="s">
        <v>110</v>
      </c>
      <c r="L492" t="s">
        <v>401</v>
      </c>
      <c r="M492" t="s">
        <v>439</v>
      </c>
      <c r="O492"/>
      <c r="P492" t="s">
        <v>83</v>
      </c>
      <c r="Q492" t="s">
        <v>94</v>
      </c>
      <c r="R492" t="s">
        <v>87</v>
      </c>
      <c r="U492" t="b">
        <v>1</v>
      </c>
      <c r="V492" t="b">
        <v>1</v>
      </c>
      <c r="W492" t="b">
        <v>1</v>
      </c>
      <c r="Y492" s="38"/>
      <c r="AS492"/>
    </row>
    <row r="493" spans="1:45" x14ac:dyDescent="0.3">
      <c r="A493">
        <v>78</v>
      </c>
      <c r="B493" t="s">
        <v>71</v>
      </c>
      <c r="E493" t="s">
        <v>448</v>
      </c>
      <c r="F493" t="s">
        <v>17</v>
      </c>
      <c r="G493" s="39">
        <v>44813.916666666664</v>
      </c>
      <c r="H493">
        <v>9</v>
      </c>
      <c r="I493">
        <v>2022</v>
      </c>
      <c r="J493" s="38"/>
      <c r="K493" t="s">
        <v>110</v>
      </c>
      <c r="L493" t="s">
        <v>401</v>
      </c>
      <c r="M493" t="s">
        <v>424</v>
      </c>
      <c r="O493"/>
      <c r="P493" t="s">
        <v>83</v>
      </c>
      <c r="Q493" t="s">
        <v>425</v>
      </c>
      <c r="R493" t="s">
        <v>97</v>
      </c>
      <c r="U493" t="b">
        <v>1</v>
      </c>
      <c r="V493" t="b">
        <v>1</v>
      </c>
      <c r="W493" t="b">
        <v>1</v>
      </c>
      <c r="Y493" s="38"/>
      <c r="AS493"/>
    </row>
    <row r="494" spans="1:45" x14ac:dyDescent="0.3">
      <c r="A494">
        <v>77</v>
      </c>
      <c r="B494" t="s">
        <v>71</v>
      </c>
      <c r="E494" t="s">
        <v>447</v>
      </c>
      <c r="F494" t="s">
        <v>430</v>
      </c>
      <c r="G494" s="39">
        <v>44811.916666666664</v>
      </c>
      <c r="H494">
        <v>9</v>
      </c>
      <c r="I494">
        <v>2022</v>
      </c>
      <c r="J494" s="38"/>
      <c r="K494" t="s">
        <v>127</v>
      </c>
      <c r="L494" t="s">
        <v>341</v>
      </c>
      <c r="M494" t="s">
        <v>128</v>
      </c>
      <c r="O494"/>
      <c r="P494" t="s">
        <v>34</v>
      </c>
      <c r="Q494" t="s">
        <v>129</v>
      </c>
      <c r="R494" t="s">
        <v>12</v>
      </c>
      <c r="U494" t="b">
        <v>1</v>
      </c>
      <c r="V494" t="b">
        <v>1</v>
      </c>
      <c r="W494" t="b">
        <v>1</v>
      </c>
      <c r="Y494" s="38"/>
      <c r="AS494"/>
    </row>
    <row r="495" spans="1:45" x14ac:dyDescent="0.3">
      <c r="A495">
        <v>76</v>
      </c>
      <c r="B495" t="s">
        <v>71</v>
      </c>
      <c r="E495" t="s">
        <v>446</v>
      </c>
      <c r="F495" t="s">
        <v>17</v>
      </c>
      <c r="G495" s="39">
        <v>44798.916666666664</v>
      </c>
      <c r="H495">
        <v>8</v>
      </c>
      <c r="I495">
        <v>2022</v>
      </c>
      <c r="J495" s="38"/>
      <c r="K495" t="s">
        <v>102</v>
      </c>
      <c r="L495" t="s">
        <v>103</v>
      </c>
      <c r="M495" t="s">
        <v>104</v>
      </c>
      <c r="O495"/>
      <c r="P495" t="s">
        <v>83</v>
      </c>
      <c r="Q495" t="s">
        <v>105</v>
      </c>
      <c r="R495" t="s">
        <v>87</v>
      </c>
      <c r="U495" t="b">
        <v>1</v>
      </c>
      <c r="V495" t="b">
        <v>1</v>
      </c>
      <c r="W495" t="b">
        <v>1</v>
      </c>
      <c r="Y495" s="38"/>
      <c r="AS495"/>
    </row>
    <row r="496" spans="1:45" x14ac:dyDescent="0.3">
      <c r="A496">
        <v>75</v>
      </c>
      <c r="B496" t="s">
        <v>71</v>
      </c>
      <c r="E496" t="s">
        <v>445</v>
      </c>
      <c r="F496" t="s">
        <v>17</v>
      </c>
      <c r="G496" s="39">
        <v>44798.916666666664</v>
      </c>
      <c r="H496">
        <v>8</v>
      </c>
      <c r="I496">
        <v>2022</v>
      </c>
      <c r="J496" s="38"/>
      <c r="K496" t="s">
        <v>102</v>
      </c>
      <c r="L496" t="s">
        <v>103</v>
      </c>
      <c r="M496" t="s">
        <v>130</v>
      </c>
      <c r="O496"/>
      <c r="P496" t="s">
        <v>101</v>
      </c>
      <c r="Q496" t="s">
        <v>131</v>
      </c>
      <c r="R496" t="s">
        <v>124</v>
      </c>
      <c r="U496" t="b">
        <v>1</v>
      </c>
      <c r="V496" t="b">
        <v>1</v>
      </c>
      <c r="W496" t="b">
        <v>1</v>
      </c>
      <c r="Y496" s="38"/>
      <c r="AS496"/>
    </row>
    <row r="497" spans="1:45" x14ac:dyDescent="0.3">
      <c r="A497">
        <v>74</v>
      </c>
      <c r="B497" t="s">
        <v>71</v>
      </c>
      <c r="E497" t="s">
        <v>444</v>
      </c>
      <c r="F497" t="s">
        <v>17</v>
      </c>
      <c r="G497" s="39">
        <v>44798.916666666664</v>
      </c>
      <c r="H497">
        <v>8</v>
      </c>
      <c r="I497">
        <v>2022</v>
      </c>
      <c r="J497" s="38"/>
      <c r="K497" t="s">
        <v>102</v>
      </c>
      <c r="L497" t="s">
        <v>103</v>
      </c>
      <c r="M497" t="s">
        <v>106</v>
      </c>
      <c r="O497"/>
      <c r="P497" t="s">
        <v>107</v>
      </c>
      <c r="Q497" t="s">
        <v>108</v>
      </c>
      <c r="R497" t="s">
        <v>109</v>
      </c>
      <c r="U497" t="b">
        <v>1</v>
      </c>
      <c r="V497" t="b">
        <v>1</v>
      </c>
      <c r="W497" t="b">
        <v>1</v>
      </c>
      <c r="Y497" s="38"/>
      <c r="AS497"/>
    </row>
    <row r="498" spans="1:45" x14ac:dyDescent="0.3">
      <c r="A498">
        <v>73</v>
      </c>
      <c r="B498" t="s">
        <v>71</v>
      </c>
      <c r="E498" t="s">
        <v>443</v>
      </c>
      <c r="F498" t="s">
        <v>430</v>
      </c>
      <c r="G498" s="39">
        <v>44791.916666666664</v>
      </c>
      <c r="H498">
        <v>8</v>
      </c>
      <c r="I498">
        <v>2022</v>
      </c>
      <c r="J498" s="38"/>
      <c r="K498" t="s">
        <v>102</v>
      </c>
      <c r="L498" t="s">
        <v>103</v>
      </c>
      <c r="M498" t="s">
        <v>112</v>
      </c>
      <c r="O498"/>
      <c r="P498" t="s">
        <v>371</v>
      </c>
      <c r="Q498" t="s">
        <v>135</v>
      </c>
      <c r="R498" t="s">
        <v>7</v>
      </c>
      <c r="U498" t="b">
        <v>1</v>
      </c>
      <c r="V498" t="b">
        <v>1</v>
      </c>
      <c r="W498" t="b">
        <v>1</v>
      </c>
      <c r="Y498" s="38"/>
      <c r="AS498"/>
    </row>
    <row r="499" spans="1:45" x14ac:dyDescent="0.3">
      <c r="A499">
        <v>72</v>
      </c>
      <c r="B499" t="s">
        <v>71</v>
      </c>
      <c r="E499" t="s">
        <v>442</v>
      </c>
      <c r="F499" t="s">
        <v>17</v>
      </c>
      <c r="G499" s="39">
        <v>44789.916666666664</v>
      </c>
      <c r="H499">
        <v>8</v>
      </c>
      <c r="I499">
        <v>2022</v>
      </c>
      <c r="J499" s="38"/>
      <c r="K499" t="s">
        <v>102</v>
      </c>
      <c r="L499" t="s">
        <v>103</v>
      </c>
      <c r="M499" t="s">
        <v>112</v>
      </c>
      <c r="O499"/>
      <c r="P499" t="s">
        <v>101</v>
      </c>
      <c r="Q499" t="s">
        <v>135</v>
      </c>
      <c r="R499" t="s">
        <v>7</v>
      </c>
      <c r="U499" t="b">
        <v>1</v>
      </c>
      <c r="V499" t="b">
        <v>1</v>
      </c>
      <c r="W499" t="b">
        <v>1</v>
      </c>
      <c r="Y499" s="38"/>
      <c r="AS499"/>
    </row>
    <row r="500" spans="1:45" x14ac:dyDescent="0.3">
      <c r="A500">
        <v>71</v>
      </c>
      <c r="B500" t="s">
        <v>71</v>
      </c>
      <c r="E500" t="s">
        <v>441</v>
      </c>
      <c r="F500" t="s">
        <v>430</v>
      </c>
      <c r="G500" s="39">
        <v>44792.916666666664</v>
      </c>
      <c r="H500">
        <v>8</v>
      </c>
      <c r="I500">
        <v>2022</v>
      </c>
      <c r="J500" s="38"/>
      <c r="K500" t="s">
        <v>110</v>
      </c>
      <c r="L500" t="s">
        <v>401</v>
      </c>
      <c r="M500" t="s">
        <v>111</v>
      </c>
      <c r="O500"/>
      <c r="P500" t="s">
        <v>101</v>
      </c>
      <c r="Q500" t="s">
        <v>415</v>
      </c>
      <c r="R500" t="s">
        <v>416</v>
      </c>
      <c r="U500" t="b">
        <v>1</v>
      </c>
      <c r="V500" t="b">
        <v>1</v>
      </c>
      <c r="W500" t="b">
        <v>1</v>
      </c>
      <c r="Y500" s="38"/>
      <c r="AS500"/>
    </row>
    <row r="501" spans="1:45" x14ac:dyDescent="0.3">
      <c r="A501">
        <v>70</v>
      </c>
      <c r="B501" t="s">
        <v>71</v>
      </c>
      <c r="E501" t="s">
        <v>440</v>
      </c>
      <c r="F501" t="s">
        <v>17</v>
      </c>
      <c r="G501" s="39">
        <v>44795.916666666664</v>
      </c>
      <c r="H501">
        <v>8</v>
      </c>
      <c r="I501">
        <v>2022</v>
      </c>
      <c r="J501" s="38"/>
      <c r="K501" t="s">
        <v>110</v>
      </c>
      <c r="L501" t="s">
        <v>401</v>
      </c>
      <c r="M501" t="s">
        <v>111</v>
      </c>
      <c r="O501"/>
      <c r="P501" t="s">
        <v>101</v>
      </c>
      <c r="Q501" t="s">
        <v>415</v>
      </c>
      <c r="R501" t="s">
        <v>416</v>
      </c>
      <c r="U501" t="b">
        <v>1</v>
      </c>
      <c r="V501" t="b">
        <v>1</v>
      </c>
      <c r="W501" t="b">
        <v>1</v>
      </c>
      <c r="Y501" s="38"/>
      <c r="AS501"/>
    </row>
    <row r="502" spans="1:45" x14ac:dyDescent="0.3">
      <c r="A502">
        <v>69</v>
      </c>
      <c r="B502" t="s">
        <v>71</v>
      </c>
      <c r="E502" t="s">
        <v>438</v>
      </c>
      <c r="F502" t="s">
        <v>430</v>
      </c>
      <c r="G502" s="39">
        <v>44796.916666666664</v>
      </c>
      <c r="H502">
        <v>8</v>
      </c>
      <c r="I502">
        <v>2022</v>
      </c>
      <c r="J502" s="38"/>
      <c r="K502" t="s">
        <v>110</v>
      </c>
      <c r="L502" t="s">
        <v>401</v>
      </c>
      <c r="M502" t="s">
        <v>439</v>
      </c>
      <c r="O502"/>
      <c r="P502" t="s">
        <v>333</v>
      </c>
      <c r="Q502" t="s">
        <v>94</v>
      </c>
      <c r="R502" t="s">
        <v>87</v>
      </c>
      <c r="U502" t="b">
        <v>1</v>
      </c>
      <c r="V502" t="b">
        <v>1</v>
      </c>
      <c r="W502" t="b">
        <v>1</v>
      </c>
      <c r="Y502" s="38"/>
      <c r="AS502"/>
    </row>
    <row r="503" spans="1:45" x14ac:dyDescent="0.3">
      <c r="A503">
        <v>68</v>
      </c>
      <c r="B503" t="s">
        <v>71</v>
      </c>
      <c r="E503" t="s">
        <v>437</v>
      </c>
      <c r="F503" t="s">
        <v>430</v>
      </c>
      <c r="G503" s="39">
        <v>44792.916666666664</v>
      </c>
      <c r="H503">
        <v>8</v>
      </c>
      <c r="I503">
        <v>2022</v>
      </c>
      <c r="J503" s="38"/>
      <c r="K503" t="s">
        <v>125</v>
      </c>
      <c r="L503" t="s">
        <v>126</v>
      </c>
      <c r="M503" t="s">
        <v>355</v>
      </c>
      <c r="O503"/>
      <c r="P503" t="s">
        <v>333</v>
      </c>
      <c r="Q503" t="s">
        <v>356</v>
      </c>
      <c r="R503" t="s">
        <v>12</v>
      </c>
      <c r="U503" t="b">
        <v>1</v>
      </c>
      <c r="V503" t="b">
        <v>1</v>
      </c>
      <c r="W503" t="b">
        <v>1</v>
      </c>
      <c r="Y503" s="38"/>
      <c r="AS503"/>
    </row>
    <row r="504" spans="1:45" x14ac:dyDescent="0.3">
      <c r="A504">
        <v>67</v>
      </c>
      <c r="B504" t="s">
        <v>71</v>
      </c>
      <c r="E504" t="s">
        <v>435</v>
      </c>
      <c r="F504" t="s">
        <v>436</v>
      </c>
      <c r="G504" s="39">
        <v>44790.916666666664</v>
      </c>
      <c r="H504">
        <v>8</v>
      </c>
      <c r="I504">
        <v>2022</v>
      </c>
      <c r="J504" s="38"/>
      <c r="K504" t="s">
        <v>127</v>
      </c>
      <c r="L504" t="s">
        <v>341</v>
      </c>
      <c r="M504" t="s">
        <v>128</v>
      </c>
      <c r="O504"/>
      <c r="P504" t="s">
        <v>342</v>
      </c>
      <c r="Q504" t="s">
        <v>129</v>
      </c>
      <c r="R504" t="s">
        <v>12</v>
      </c>
      <c r="U504" t="b">
        <v>1</v>
      </c>
      <c r="V504" t="b">
        <v>1</v>
      </c>
      <c r="W504" t="b">
        <v>1</v>
      </c>
      <c r="Y504" s="38"/>
      <c r="AS504"/>
    </row>
    <row r="505" spans="1:45" x14ac:dyDescent="0.3">
      <c r="A505">
        <v>66</v>
      </c>
      <c r="B505" t="s">
        <v>71</v>
      </c>
      <c r="E505" t="s">
        <v>434</v>
      </c>
      <c r="F505" t="s">
        <v>430</v>
      </c>
      <c r="G505" s="39">
        <v>44791.916666666664</v>
      </c>
      <c r="H505">
        <v>8</v>
      </c>
      <c r="I505">
        <v>2022</v>
      </c>
      <c r="J505" s="38"/>
      <c r="K505" t="s">
        <v>133</v>
      </c>
      <c r="L505" t="s">
        <v>134</v>
      </c>
      <c r="M505" t="s">
        <v>128</v>
      </c>
      <c r="O505"/>
      <c r="P505" t="s">
        <v>342</v>
      </c>
      <c r="Q505" t="s">
        <v>145</v>
      </c>
      <c r="R505" t="s">
        <v>12</v>
      </c>
      <c r="U505" t="b">
        <v>1</v>
      </c>
      <c r="V505" t="b">
        <v>1</v>
      </c>
      <c r="W505" t="b">
        <v>1</v>
      </c>
      <c r="Y505" s="38"/>
      <c r="AS505"/>
    </row>
    <row r="506" spans="1:45" x14ac:dyDescent="0.3">
      <c r="A506">
        <v>65</v>
      </c>
      <c r="B506" t="s">
        <v>71</v>
      </c>
      <c r="E506" t="s">
        <v>433</v>
      </c>
      <c r="F506" t="s">
        <v>17</v>
      </c>
      <c r="G506" s="39">
        <v>44790.916666666664</v>
      </c>
      <c r="H506">
        <v>8</v>
      </c>
      <c r="I506">
        <v>2022</v>
      </c>
      <c r="J506" s="38"/>
      <c r="K506" t="s">
        <v>133</v>
      </c>
      <c r="L506" t="s">
        <v>134</v>
      </c>
      <c r="M506" t="s">
        <v>128</v>
      </c>
      <c r="O506"/>
      <c r="P506" t="s">
        <v>342</v>
      </c>
      <c r="Q506" t="s">
        <v>145</v>
      </c>
      <c r="R506" t="s">
        <v>12</v>
      </c>
      <c r="U506" t="b">
        <v>1</v>
      </c>
      <c r="V506" t="b">
        <v>1</v>
      </c>
      <c r="W506" t="b">
        <v>1</v>
      </c>
      <c r="Y506" s="38"/>
      <c r="AS506"/>
    </row>
    <row r="507" spans="1:45" x14ac:dyDescent="0.3">
      <c r="A507">
        <v>64</v>
      </c>
      <c r="B507" t="s">
        <v>71</v>
      </c>
      <c r="E507" t="s">
        <v>432</v>
      </c>
      <c r="F507" t="s">
        <v>17</v>
      </c>
      <c r="G507" s="39">
        <v>44794.916666666664</v>
      </c>
      <c r="H507">
        <v>8</v>
      </c>
      <c r="I507">
        <v>2022</v>
      </c>
      <c r="J507" s="38"/>
      <c r="K507" t="s">
        <v>110</v>
      </c>
      <c r="L507" t="s">
        <v>401</v>
      </c>
      <c r="M507" t="s">
        <v>112</v>
      </c>
      <c r="O507"/>
      <c r="P507" t="s">
        <v>371</v>
      </c>
      <c r="Q507" t="s">
        <v>402</v>
      </c>
      <c r="R507" t="s">
        <v>403</v>
      </c>
      <c r="U507" t="b">
        <v>1</v>
      </c>
      <c r="V507" t="b">
        <v>1</v>
      </c>
      <c r="W507" t="b">
        <v>1</v>
      </c>
      <c r="Y507" s="38"/>
      <c r="AS507"/>
    </row>
    <row r="508" spans="1:45" x14ac:dyDescent="0.3">
      <c r="A508">
        <v>63</v>
      </c>
      <c r="B508" t="s">
        <v>71</v>
      </c>
      <c r="E508" t="s">
        <v>431</v>
      </c>
      <c r="F508" t="s">
        <v>17</v>
      </c>
      <c r="G508" s="39">
        <v>44793.916666666664</v>
      </c>
      <c r="H508">
        <v>8</v>
      </c>
      <c r="I508">
        <v>2022</v>
      </c>
      <c r="J508" s="38"/>
      <c r="K508" t="s">
        <v>362</v>
      </c>
      <c r="L508" t="s">
        <v>363</v>
      </c>
      <c r="M508" t="s">
        <v>364</v>
      </c>
      <c r="O508"/>
      <c r="P508" t="s">
        <v>138</v>
      </c>
      <c r="Q508" t="s">
        <v>365</v>
      </c>
      <c r="R508" t="s">
        <v>366</v>
      </c>
      <c r="U508" t="b">
        <v>1</v>
      </c>
      <c r="V508" t="b">
        <v>1</v>
      </c>
      <c r="W508" t="b">
        <v>1</v>
      </c>
      <c r="Y508" s="38"/>
      <c r="AS508"/>
    </row>
    <row r="509" spans="1:45" x14ac:dyDescent="0.3">
      <c r="A509">
        <v>62</v>
      </c>
      <c r="B509" t="s">
        <v>71</v>
      </c>
      <c r="E509" t="s">
        <v>429</v>
      </c>
      <c r="F509" t="s">
        <v>430</v>
      </c>
      <c r="G509" s="39">
        <v>44796.916666666664</v>
      </c>
      <c r="H509">
        <v>8</v>
      </c>
      <c r="I509">
        <v>2022</v>
      </c>
      <c r="J509" s="38"/>
      <c r="K509" t="s">
        <v>110</v>
      </c>
      <c r="L509" t="s">
        <v>401</v>
      </c>
      <c r="M509" t="s">
        <v>424</v>
      </c>
      <c r="O509"/>
      <c r="P509" t="s">
        <v>138</v>
      </c>
      <c r="Q509" t="s">
        <v>425</v>
      </c>
      <c r="R509" t="s">
        <v>97</v>
      </c>
      <c r="U509" t="b">
        <v>1</v>
      </c>
      <c r="V509" t="b">
        <v>1</v>
      </c>
      <c r="W509" t="b">
        <v>1</v>
      </c>
      <c r="Y509" s="38"/>
      <c r="AS509"/>
    </row>
    <row r="510" spans="1:45" x14ac:dyDescent="0.3">
      <c r="A510">
        <v>61</v>
      </c>
      <c r="B510" t="s">
        <v>71</v>
      </c>
      <c r="E510" t="s">
        <v>428</v>
      </c>
      <c r="F510" t="s">
        <v>17</v>
      </c>
      <c r="G510" s="39">
        <v>44782.916666666664</v>
      </c>
      <c r="H510">
        <v>8</v>
      </c>
      <c r="I510">
        <v>2022</v>
      </c>
      <c r="J510" s="38"/>
      <c r="K510" t="s">
        <v>125</v>
      </c>
      <c r="L510" t="s">
        <v>126</v>
      </c>
      <c r="M510" t="s">
        <v>355</v>
      </c>
      <c r="O510"/>
      <c r="P510" t="s">
        <v>333</v>
      </c>
      <c r="Q510" t="s">
        <v>356</v>
      </c>
      <c r="R510" t="s">
        <v>12</v>
      </c>
      <c r="U510" t="b">
        <v>1</v>
      </c>
      <c r="V510" t="b">
        <v>1</v>
      </c>
      <c r="W510" t="b">
        <v>1</v>
      </c>
      <c r="Y510" s="38"/>
      <c r="AS510"/>
    </row>
    <row r="511" spans="1:45" x14ac:dyDescent="0.3">
      <c r="A511">
        <v>60</v>
      </c>
      <c r="B511" t="s">
        <v>71</v>
      </c>
      <c r="E511" t="s">
        <v>427</v>
      </c>
      <c r="F511" t="s">
        <v>17</v>
      </c>
      <c r="G511" s="39">
        <v>44762.916666666664</v>
      </c>
      <c r="H511">
        <v>7</v>
      </c>
      <c r="I511">
        <v>2022</v>
      </c>
      <c r="J511" s="38"/>
      <c r="K511" t="s">
        <v>121</v>
      </c>
      <c r="L511" t="s">
        <v>122</v>
      </c>
      <c r="M511" t="s">
        <v>14</v>
      </c>
      <c r="O511"/>
      <c r="P511" t="s">
        <v>138</v>
      </c>
      <c r="Q511" t="s">
        <v>290</v>
      </c>
      <c r="R511" t="s">
        <v>12</v>
      </c>
      <c r="U511" t="b">
        <v>0</v>
      </c>
      <c r="V511" t="b">
        <v>1</v>
      </c>
      <c r="W511" t="b">
        <v>1</v>
      </c>
      <c r="Y511" s="38"/>
      <c r="AS511"/>
    </row>
    <row r="512" spans="1:45" x14ac:dyDescent="0.3">
      <c r="A512">
        <v>59</v>
      </c>
      <c r="B512" t="s">
        <v>71</v>
      </c>
      <c r="E512" t="s">
        <v>426</v>
      </c>
      <c r="F512" t="s">
        <v>17</v>
      </c>
      <c r="G512" s="39">
        <v>44753.916666666664</v>
      </c>
      <c r="H512">
        <v>7</v>
      </c>
      <c r="I512">
        <v>2022</v>
      </c>
      <c r="J512" s="38"/>
      <c r="K512" t="s">
        <v>125</v>
      </c>
      <c r="L512" t="s">
        <v>126</v>
      </c>
      <c r="M512" t="s">
        <v>355</v>
      </c>
      <c r="O512"/>
      <c r="P512" t="s">
        <v>138</v>
      </c>
      <c r="Q512" t="s">
        <v>356</v>
      </c>
      <c r="R512" t="s">
        <v>12</v>
      </c>
      <c r="U512" t="b">
        <v>1</v>
      </c>
      <c r="V512" t="b">
        <v>1</v>
      </c>
      <c r="W512" t="b">
        <v>1</v>
      </c>
      <c r="Y512" s="38"/>
      <c r="AS512"/>
    </row>
    <row r="513" spans="1:45" x14ac:dyDescent="0.3">
      <c r="A513">
        <v>58</v>
      </c>
      <c r="B513" t="s">
        <v>71</v>
      </c>
      <c r="E513" t="s">
        <v>423</v>
      </c>
      <c r="F513" t="s">
        <v>17</v>
      </c>
      <c r="G513" s="39">
        <v>44764.916666666664</v>
      </c>
      <c r="H513">
        <v>7</v>
      </c>
      <c r="I513">
        <v>2022</v>
      </c>
      <c r="J513" s="38"/>
      <c r="K513" t="s">
        <v>110</v>
      </c>
      <c r="L513" t="s">
        <v>401</v>
      </c>
      <c r="M513" t="s">
        <v>424</v>
      </c>
      <c r="O513"/>
      <c r="P513" t="s">
        <v>138</v>
      </c>
      <c r="Q513" t="s">
        <v>425</v>
      </c>
      <c r="R513" t="s">
        <v>97</v>
      </c>
      <c r="U513" t="b">
        <v>1</v>
      </c>
      <c r="V513" t="b">
        <v>1</v>
      </c>
      <c r="W513" t="b">
        <v>1</v>
      </c>
      <c r="Y513" s="38"/>
      <c r="AS513"/>
    </row>
    <row r="514" spans="1:45" x14ac:dyDescent="0.3">
      <c r="A514">
        <v>57</v>
      </c>
      <c r="B514" t="s">
        <v>71</v>
      </c>
      <c r="E514" t="s">
        <v>420</v>
      </c>
      <c r="F514" t="s">
        <v>17</v>
      </c>
      <c r="G514" s="39">
        <v>44765.916666666664</v>
      </c>
      <c r="H514">
        <v>7</v>
      </c>
      <c r="I514">
        <v>2022</v>
      </c>
      <c r="J514" s="38"/>
      <c r="K514" t="s">
        <v>14</v>
      </c>
      <c r="L514" t="s">
        <v>99</v>
      </c>
      <c r="M514" t="s">
        <v>147</v>
      </c>
      <c r="O514"/>
      <c r="P514" t="s">
        <v>371</v>
      </c>
      <c r="Q514" t="s">
        <v>421</v>
      </c>
      <c r="R514" t="s">
        <v>422</v>
      </c>
      <c r="U514" t="b">
        <v>1</v>
      </c>
      <c r="V514" t="b">
        <v>1</v>
      </c>
      <c r="W514" t="b">
        <v>1</v>
      </c>
      <c r="Y514" s="38"/>
      <c r="AS514"/>
    </row>
    <row r="515" spans="1:45" x14ac:dyDescent="0.3">
      <c r="A515">
        <v>56</v>
      </c>
      <c r="B515" t="s">
        <v>71</v>
      </c>
      <c r="E515" t="s">
        <v>419</v>
      </c>
      <c r="F515" t="s">
        <v>17</v>
      </c>
      <c r="G515" s="39">
        <v>44764.916666666664</v>
      </c>
      <c r="H515">
        <v>7</v>
      </c>
      <c r="I515">
        <v>2022</v>
      </c>
      <c r="J515" s="38"/>
      <c r="K515" t="s">
        <v>121</v>
      </c>
      <c r="L515" t="s">
        <v>122</v>
      </c>
      <c r="M515" t="s">
        <v>14</v>
      </c>
      <c r="O515"/>
      <c r="P515" t="s">
        <v>333</v>
      </c>
      <c r="Q515" t="s">
        <v>290</v>
      </c>
      <c r="R515" t="s">
        <v>12</v>
      </c>
      <c r="U515" t="b">
        <v>1</v>
      </c>
      <c r="V515" t="b">
        <v>1</v>
      </c>
      <c r="W515" t="b">
        <v>1</v>
      </c>
      <c r="Y515" s="38"/>
      <c r="AS515"/>
    </row>
    <row r="516" spans="1:45" x14ac:dyDescent="0.3">
      <c r="A516">
        <v>55</v>
      </c>
      <c r="B516" t="s">
        <v>71</v>
      </c>
      <c r="E516" t="s">
        <v>418</v>
      </c>
      <c r="F516" t="s">
        <v>373</v>
      </c>
      <c r="G516" s="39">
        <v>44756.916666666664</v>
      </c>
      <c r="H516">
        <v>7</v>
      </c>
      <c r="I516">
        <v>2022</v>
      </c>
      <c r="J516" s="38"/>
      <c r="K516" t="s">
        <v>121</v>
      </c>
      <c r="L516" t="s">
        <v>122</v>
      </c>
      <c r="M516" t="s">
        <v>14</v>
      </c>
      <c r="O516"/>
      <c r="P516" t="s">
        <v>333</v>
      </c>
      <c r="Q516" t="s">
        <v>290</v>
      </c>
      <c r="R516" t="s">
        <v>12</v>
      </c>
      <c r="U516" t="b">
        <v>1</v>
      </c>
      <c r="V516" t="b">
        <v>1</v>
      </c>
      <c r="W516" t="b">
        <v>1</v>
      </c>
      <c r="Y516" s="38"/>
      <c r="AS516"/>
    </row>
    <row r="517" spans="1:45" x14ac:dyDescent="0.3">
      <c r="A517">
        <v>54</v>
      </c>
      <c r="B517" t="s">
        <v>71</v>
      </c>
      <c r="E517" t="s">
        <v>417</v>
      </c>
      <c r="F517" t="s">
        <v>17</v>
      </c>
      <c r="G517" s="39">
        <v>44766.916666666664</v>
      </c>
      <c r="H517">
        <v>7</v>
      </c>
      <c r="I517">
        <v>2022</v>
      </c>
      <c r="J517" s="38"/>
      <c r="K517" t="s">
        <v>110</v>
      </c>
      <c r="L517" t="s">
        <v>401</v>
      </c>
      <c r="M517" t="s">
        <v>111</v>
      </c>
      <c r="O517"/>
      <c r="P517" t="s">
        <v>101</v>
      </c>
      <c r="Q517" t="s">
        <v>415</v>
      </c>
      <c r="R517" t="s">
        <v>416</v>
      </c>
      <c r="U517" t="b">
        <v>1</v>
      </c>
      <c r="V517" t="b">
        <v>1</v>
      </c>
      <c r="W517" t="b">
        <v>1</v>
      </c>
      <c r="Y517" s="38"/>
      <c r="AS517"/>
    </row>
    <row r="518" spans="1:45" x14ac:dyDescent="0.3">
      <c r="A518">
        <v>53</v>
      </c>
      <c r="B518" t="s">
        <v>71</v>
      </c>
      <c r="E518" t="s">
        <v>414</v>
      </c>
      <c r="F518" t="s">
        <v>373</v>
      </c>
      <c r="G518" s="39">
        <v>44762.916666666664</v>
      </c>
      <c r="H518">
        <v>7</v>
      </c>
      <c r="I518">
        <v>2022</v>
      </c>
      <c r="J518" s="38"/>
      <c r="K518" t="s">
        <v>110</v>
      </c>
      <c r="L518" t="s">
        <v>401</v>
      </c>
      <c r="M518" t="s">
        <v>111</v>
      </c>
      <c r="O518"/>
      <c r="P518" t="s">
        <v>101</v>
      </c>
      <c r="Q518" t="s">
        <v>415</v>
      </c>
      <c r="R518" t="s">
        <v>416</v>
      </c>
      <c r="U518" t="b">
        <v>1</v>
      </c>
      <c r="V518" t="b">
        <v>1</v>
      </c>
      <c r="W518" t="b">
        <v>1</v>
      </c>
      <c r="Y518" s="38"/>
      <c r="AS518"/>
    </row>
    <row r="519" spans="1:45" x14ac:dyDescent="0.3">
      <c r="A519">
        <v>52</v>
      </c>
      <c r="B519" t="s">
        <v>71</v>
      </c>
      <c r="E519" t="s">
        <v>413</v>
      </c>
      <c r="F519" t="s">
        <v>17</v>
      </c>
      <c r="G519" s="39">
        <v>44764.916666666664</v>
      </c>
      <c r="H519">
        <v>7</v>
      </c>
      <c r="I519">
        <v>2022</v>
      </c>
      <c r="J519" s="38"/>
      <c r="K519" t="s">
        <v>14</v>
      </c>
      <c r="L519" t="s">
        <v>99</v>
      </c>
      <c r="M519" t="s">
        <v>112</v>
      </c>
      <c r="O519"/>
      <c r="P519" t="s">
        <v>371</v>
      </c>
      <c r="Q519" t="s">
        <v>135</v>
      </c>
      <c r="R519" t="s">
        <v>31</v>
      </c>
      <c r="U519" t="b">
        <v>1</v>
      </c>
      <c r="V519" t="b">
        <v>1</v>
      </c>
      <c r="W519" t="b">
        <v>1</v>
      </c>
      <c r="Y519" s="38"/>
      <c r="AS519"/>
    </row>
    <row r="520" spans="1:45" x14ac:dyDescent="0.3">
      <c r="A520">
        <v>51</v>
      </c>
      <c r="B520" t="s">
        <v>71</v>
      </c>
      <c r="E520" t="s">
        <v>412</v>
      </c>
      <c r="F520" t="s">
        <v>17</v>
      </c>
      <c r="G520" s="39">
        <v>44753.916666666664</v>
      </c>
      <c r="H520">
        <v>7</v>
      </c>
      <c r="I520">
        <v>2022</v>
      </c>
      <c r="J520" s="38"/>
      <c r="K520" t="s">
        <v>127</v>
      </c>
      <c r="L520" t="s">
        <v>341</v>
      </c>
      <c r="M520" t="s">
        <v>128</v>
      </c>
      <c r="O520"/>
      <c r="P520" t="s">
        <v>342</v>
      </c>
      <c r="Q520" t="s">
        <v>129</v>
      </c>
      <c r="R520" t="s">
        <v>12</v>
      </c>
      <c r="U520" t="b">
        <v>1</v>
      </c>
      <c r="V520" t="b">
        <v>1</v>
      </c>
      <c r="W520" t="b">
        <v>1</v>
      </c>
      <c r="Y520" s="38"/>
      <c r="AS520"/>
    </row>
    <row r="521" spans="1:45" x14ac:dyDescent="0.3">
      <c r="A521">
        <v>50</v>
      </c>
      <c r="B521" t="s">
        <v>71</v>
      </c>
      <c r="E521" t="s">
        <v>411</v>
      </c>
      <c r="F521" t="s">
        <v>17</v>
      </c>
      <c r="G521" s="39">
        <v>44749.916666666664</v>
      </c>
      <c r="H521">
        <v>7</v>
      </c>
      <c r="I521">
        <v>2022</v>
      </c>
      <c r="J521" s="38"/>
      <c r="K521" t="s">
        <v>151</v>
      </c>
      <c r="L521" t="s">
        <v>348</v>
      </c>
      <c r="M521" t="s">
        <v>90</v>
      </c>
      <c r="O521"/>
      <c r="P521" t="s">
        <v>101</v>
      </c>
      <c r="Q521" t="s">
        <v>91</v>
      </c>
      <c r="R521" t="s">
        <v>92</v>
      </c>
      <c r="U521" t="b">
        <v>1</v>
      </c>
      <c r="V521" t="b">
        <v>1</v>
      </c>
      <c r="W521" t="b">
        <v>1</v>
      </c>
      <c r="Y521" s="38"/>
      <c r="AS521"/>
    </row>
    <row r="522" spans="1:45" x14ac:dyDescent="0.3">
      <c r="A522">
        <v>49</v>
      </c>
      <c r="B522" t="s">
        <v>71</v>
      </c>
      <c r="E522" t="s">
        <v>410</v>
      </c>
      <c r="F522" t="s">
        <v>373</v>
      </c>
      <c r="G522" s="39">
        <v>44748.916666666664</v>
      </c>
      <c r="H522">
        <v>7</v>
      </c>
      <c r="I522">
        <v>2022</v>
      </c>
      <c r="J522" s="38"/>
      <c r="K522" t="s">
        <v>102</v>
      </c>
      <c r="L522" t="s">
        <v>103</v>
      </c>
      <c r="M522" t="s">
        <v>130</v>
      </c>
      <c r="O522"/>
      <c r="P522" t="s">
        <v>101</v>
      </c>
      <c r="Q522" t="s">
        <v>131</v>
      </c>
      <c r="R522" t="s">
        <v>124</v>
      </c>
      <c r="U522" t="b">
        <v>1</v>
      </c>
      <c r="V522" t="b">
        <v>1</v>
      </c>
      <c r="W522" t="b">
        <v>1</v>
      </c>
      <c r="Y522" s="38"/>
      <c r="AS522"/>
    </row>
    <row r="523" spans="1:45" x14ac:dyDescent="0.3">
      <c r="A523">
        <v>48</v>
      </c>
      <c r="B523" t="s">
        <v>71</v>
      </c>
      <c r="E523" t="s">
        <v>408</v>
      </c>
      <c r="F523" t="s">
        <v>17</v>
      </c>
      <c r="G523" s="39">
        <v>44751.916666666664</v>
      </c>
      <c r="H523">
        <v>7</v>
      </c>
      <c r="I523">
        <v>2022</v>
      </c>
      <c r="J523" s="38"/>
      <c r="K523" t="s">
        <v>121</v>
      </c>
      <c r="L523" t="s">
        <v>122</v>
      </c>
      <c r="M523" t="s">
        <v>123</v>
      </c>
      <c r="O523"/>
      <c r="P523" t="s">
        <v>101</v>
      </c>
      <c r="Q523" t="s">
        <v>409</v>
      </c>
      <c r="R523" t="s">
        <v>124</v>
      </c>
      <c r="U523" t="b">
        <v>1</v>
      </c>
      <c r="V523" t="b">
        <v>1</v>
      </c>
      <c r="W523" t="b">
        <v>1</v>
      </c>
      <c r="Y523" s="38"/>
      <c r="AS523"/>
    </row>
    <row r="524" spans="1:45" x14ac:dyDescent="0.3">
      <c r="A524">
        <v>47</v>
      </c>
      <c r="B524" t="s">
        <v>71</v>
      </c>
      <c r="E524" t="s">
        <v>407</v>
      </c>
      <c r="F524" t="s">
        <v>17</v>
      </c>
      <c r="G524" s="39">
        <v>44751.916666666664</v>
      </c>
      <c r="H524">
        <v>7</v>
      </c>
      <c r="I524">
        <v>2022</v>
      </c>
      <c r="J524" s="38"/>
      <c r="K524" t="s">
        <v>110</v>
      </c>
      <c r="L524" t="s">
        <v>401</v>
      </c>
      <c r="M524" t="s">
        <v>112</v>
      </c>
      <c r="O524"/>
      <c r="P524" t="s">
        <v>371</v>
      </c>
      <c r="Q524" t="s">
        <v>402</v>
      </c>
      <c r="R524" t="s">
        <v>403</v>
      </c>
      <c r="U524" t="b">
        <v>0</v>
      </c>
      <c r="V524" t="b">
        <v>1</v>
      </c>
      <c r="W524" t="b">
        <v>1</v>
      </c>
      <c r="Y524" s="38"/>
      <c r="AS524"/>
    </row>
    <row r="525" spans="1:45" x14ac:dyDescent="0.3">
      <c r="A525">
        <v>46</v>
      </c>
      <c r="B525" t="s">
        <v>71</v>
      </c>
      <c r="E525" t="s">
        <v>406</v>
      </c>
      <c r="F525" t="s">
        <v>17</v>
      </c>
      <c r="G525" s="39">
        <v>44751.916666666664</v>
      </c>
      <c r="H525">
        <v>7</v>
      </c>
      <c r="I525">
        <v>2022</v>
      </c>
      <c r="J525" s="38"/>
      <c r="K525" t="s">
        <v>102</v>
      </c>
      <c r="L525" t="s">
        <v>103</v>
      </c>
      <c r="M525" t="s">
        <v>106</v>
      </c>
      <c r="O525"/>
      <c r="P525" t="s">
        <v>138</v>
      </c>
      <c r="Q525" t="s">
        <v>108</v>
      </c>
      <c r="R525" t="s">
        <v>109</v>
      </c>
      <c r="U525" t="b">
        <v>0</v>
      </c>
      <c r="V525" t="b">
        <v>1</v>
      </c>
      <c r="W525" t="b">
        <v>1</v>
      </c>
      <c r="Y525" s="38"/>
      <c r="AS525"/>
    </row>
    <row r="526" spans="1:45" x14ac:dyDescent="0.3">
      <c r="A526">
        <v>45</v>
      </c>
      <c r="B526" t="s">
        <v>71</v>
      </c>
      <c r="E526" t="s">
        <v>404</v>
      </c>
      <c r="F526" t="s">
        <v>17</v>
      </c>
      <c r="G526" s="39">
        <v>44752.916666666664</v>
      </c>
      <c r="H526">
        <v>7</v>
      </c>
      <c r="I526">
        <v>2022</v>
      </c>
      <c r="J526" s="38"/>
      <c r="K526" t="s">
        <v>102</v>
      </c>
      <c r="L526" t="s">
        <v>103</v>
      </c>
      <c r="M526" t="s">
        <v>274</v>
      </c>
      <c r="O526"/>
      <c r="P526" t="s">
        <v>138</v>
      </c>
      <c r="Q526" t="s">
        <v>405</v>
      </c>
      <c r="R526" t="s">
        <v>221</v>
      </c>
      <c r="U526" t="b">
        <v>1</v>
      </c>
      <c r="V526" t="b">
        <v>1</v>
      </c>
      <c r="W526" t="b">
        <v>1</v>
      </c>
      <c r="Y526" s="38"/>
      <c r="AS526"/>
    </row>
    <row r="527" spans="1:45" x14ac:dyDescent="0.3">
      <c r="A527">
        <v>44</v>
      </c>
      <c r="B527" t="s">
        <v>71</v>
      </c>
      <c r="E527" t="s">
        <v>400</v>
      </c>
      <c r="F527" t="s">
        <v>373</v>
      </c>
      <c r="G527" s="39">
        <v>44752.916666666664</v>
      </c>
      <c r="H527">
        <v>7</v>
      </c>
      <c r="I527">
        <v>2022</v>
      </c>
      <c r="J527" s="38"/>
      <c r="K527" t="s">
        <v>110</v>
      </c>
      <c r="L527" t="s">
        <v>401</v>
      </c>
      <c r="M527" t="s">
        <v>112</v>
      </c>
      <c r="O527"/>
      <c r="P527" t="s">
        <v>138</v>
      </c>
      <c r="Q527" t="s">
        <v>402</v>
      </c>
      <c r="R527" t="s">
        <v>403</v>
      </c>
      <c r="U527" t="b">
        <v>0</v>
      </c>
      <c r="V527" t="b">
        <v>1</v>
      </c>
      <c r="W527" t="b">
        <v>1</v>
      </c>
      <c r="Y527" s="38"/>
      <c r="AS527"/>
    </row>
    <row r="528" spans="1:45" x14ac:dyDescent="0.3">
      <c r="A528">
        <v>43</v>
      </c>
      <c r="B528" t="s">
        <v>71</v>
      </c>
      <c r="E528" t="s">
        <v>399</v>
      </c>
      <c r="F528" t="s">
        <v>373</v>
      </c>
      <c r="G528" s="39">
        <v>44730.916666666664</v>
      </c>
      <c r="H528">
        <v>6</v>
      </c>
      <c r="I528">
        <v>2022</v>
      </c>
      <c r="J528" s="38"/>
      <c r="K528" t="s">
        <v>84</v>
      </c>
      <c r="L528" t="s">
        <v>369</v>
      </c>
      <c r="M528" t="s">
        <v>282</v>
      </c>
      <c r="O528"/>
      <c r="P528" t="s">
        <v>101</v>
      </c>
      <c r="Q528" t="s">
        <v>283</v>
      </c>
      <c r="R528" t="s">
        <v>284</v>
      </c>
      <c r="U528" t="b">
        <v>1</v>
      </c>
      <c r="V528" t="b">
        <v>1</v>
      </c>
      <c r="W528" t="b">
        <v>1</v>
      </c>
      <c r="Y528" s="38"/>
      <c r="AS528"/>
    </row>
    <row r="529" spans="1:45" x14ac:dyDescent="0.3">
      <c r="A529">
        <v>42</v>
      </c>
      <c r="B529" t="s">
        <v>71</v>
      </c>
      <c r="E529" t="s">
        <v>398</v>
      </c>
      <c r="F529" t="s">
        <v>17</v>
      </c>
      <c r="G529" s="39">
        <v>44725.916666666664</v>
      </c>
      <c r="H529">
        <v>6</v>
      </c>
      <c r="I529">
        <v>2022</v>
      </c>
      <c r="J529" s="38"/>
      <c r="K529" t="s">
        <v>121</v>
      </c>
      <c r="L529" t="s">
        <v>122</v>
      </c>
      <c r="M529" t="s">
        <v>14</v>
      </c>
      <c r="O529"/>
      <c r="P529" t="s">
        <v>333</v>
      </c>
      <c r="Q529" t="s">
        <v>290</v>
      </c>
      <c r="R529" t="s">
        <v>12</v>
      </c>
      <c r="U529" t="b">
        <v>1</v>
      </c>
      <c r="V529" t="b">
        <v>1</v>
      </c>
      <c r="W529" t="b">
        <v>1</v>
      </c>
      <c r="Y529" s="38"/>
      <c r="AS529"/>
    </row>
    <row r="530" spans="1:45" x14ac:dyDescent="0.3">
      <c r="A530">
        <v>41</v>
      </c>
      <c r="B530" t="s">
        <v>71</v>
      </c>
      <c r="E530" t="s">
        <v>397</v>
      </c>
      <c r="F530" t="s">
        <v>17</v>
      </c>
      <c r="G530" s="39">
        <v>44725.916666666664</v>
      </c>
      <c r="H530">
        <v>6</v>
      </c>
      <c r="I530">
        <v>2022</v>
      </c>
      <c r="J530" s="38"/>
      <c r="K530" t="s">
        <v>125</v>
      </c>
      <c r="L530" t="s">
        <v>126</v>
      </c>
      <c r="M530" t="s">
        <v>13</v>
      </c>
      <c r="O530"/>
      <c r="P530" t="s">
        <v>101</v>
      </c>
      <c r="Q530" t="s">
        <v>338</v>
      </c>
      <c r="R530" t="s">
        <v>132</v>
      </c>
      <c r="U530" t="b">
        <v>1</v>
      </c>
      <c r="V530" t="b">
        <v>1</v>
      </c>
      <c r="W530" t="b">
        <v>1</v>
      </c>
      <c r="Y530" s="38"/>
      <c r="AS530"/>
    </row>
    <row r="531" spans="1:45" x14ac:dyDescent="0.3">
      <c r="A531">
        <v>40</v>
      </c>
      <c r="B531" t="s">
        <v>71</v>
      </c>
      <c r="E531" t="s">
        <v>396</v>
      </c>
      <c r="F531" t="s">
        <v>373</v>
      </c>
      <c r="G531" s="39">
        <v>44730.916666666664</v>
      </c>
      <c r="H531">
        <v>6</v>
      </c>
      <c r="I531">
        <v>2022</v>
      </c>
      <c r="J531" s="38"/>
      <c r="K531" t="s">
        <v>127</v>
      </c>
      <c r="L531" t="s">
        <v>341</v>
      </c>
      <c r="M531" t="s">
        <v>128</v>
      </c>
      <c r="O531"/>
      <c r="P531" t="s">
        <v>342</v>
      </c>
      <c r="Q531" t="s">
        <v>129</v>
      </c>
      <c r="R531" t="s">
        <v>12</v>
      </c>
      <c r="U531" t="b">
        <v>1</v>
      </c>
      <c r="V531" t="b">
        <v>1</v>
      </c>
      <c r="W531" t="b">
        <v>1</v>
      </c>
      <c r="Y531" s="38"/>
      <c r="AS531"/>
    </row>
    <row r="532" spans="1:45" x14ac:dyDescent="0.3">
      <c r="A532">
        <v>39</v>
      </c>
      <c r="B532" t="s">
        <v>71</v>
      </c>
      <c r="E532" t="s">
        <v>395</v>
      </c>
      <c r="F532" t="s">
        <v>17</v>
      </c>
      <c r="G532" s="39">
        <v>44727.916666666664</v>
      </c>
      <c r="H532">
        <v>6</v>
      </c>
      <c r="I532">
        <v>2022</v>
      </c>
      <c r="J532" s="38"/>
      <c r="K532" t="s">
        <v>127</v>
      </c>
      <c r="L532" t="s">
        <v>341</v>
      </c>
      <c r="M532" t="s">
        <v>128</v>
      </c>
      <c r="O532"/>
      <c r="P532" t="s">
        <v>342</v>
      </c>
      <c r="Q532" t="s">
        <v>129</v>
      </c>
      <c r="R532" t="s">
        <v>12</v>
      </c>
      <c r="U532" t="b">
        <v>1</v>
      </c>
      <c r="V532" t="b">
        <v>1</v>
      </c>
      <c r="W532" t="b">
        <v>1</v>
      </c>
      <c r="Y532" s="38"/>
      <c r="AS532"/>
    </row>
    <row r="533" spans="1:45" x14ac:dyDescent="0.3">
      <c r="A533">
        <v>38</v>
      </c>
      <c r="B533" t="s">
        <v>71</v>
      </c>
      <c r="E533" t="s">
        <v>394</v>
      </c>
      <c r="F533" t="s">
        <v>17</v>
      </c>
      <c r="G533" s="39">
        <v>44728.916666666664</v>
      </c>
      <c r="H533">
        <v>6</v>
      </c>
      <c r="I533">
        <v>2022</v>
      </c>
      <c r="J533" s="38"/>
      <c r="K533" t="s">
        <v>133</v>
      </c>
      <c r="L533" t="s">
        <v>134</v>
      </c>
      <c r="M533" t="s">
        <v>14</v>
      </c>
      <c r="O533"/>
      <c r="P533" t="s">
        <v>333</v>
      </c>
      <c r="Q533" t="s">
        <v>335</v>
      </c>
      <c r="R533" t="s">
        <v>336</v>
      </c>
      <c r="U533" t="b">
        <v>1</v>
      </c>
      <c r="V533" t="b">
        <v>1</v>
      </c>
      <c r="W533" t="b">
        <v>1</v>
      </c>
      <c r="Y533" s="38"/>
      <c r="AS533"/>
    </row>
    <row r="534" spans="1:45" x14ac:dyDescent="0.3">
      <c r="A534">
        <v>37</v>
      </c>
      <c r="B534" t="s">
        <v>71</v>
      </c>
      <c r="E534" t="s">
        <v>390</v>
      </c>
      <c r="F534" t="s">
        <v>17</v>
      </c>
      <c r="G534" s="39">
        <v>44726.916666666664</v>
      </c>
      <c r="H534">
        <v>6</v>
      </c>
      <c r="I534">
        <v>2022</v>
      </c>
      <c r="J534" s="38"/>
      <c r="K534" t="s">
        <v>391</v>
      </c>
      <c r="L534"/>
      <c r="M534" t="s">
        <v>392</v>
      </c>
      <c r="O534"/>
      <c r="P534" t="s">
        <v>138</v>
      </c>
      <c r="Q534" t="s">
        <v>393</v>
      </c>
      <c r="R534" t="s">
        <v>87</v>
      </c>
      <c r="U534" t="b">
        <v>1</v>
      </c>
      <c r="V534" t="b">
        <v>1</v>
      </c>
      <c r="W534" t="b">
        <v>1</v>
      </c>
      <c r="Y534" s="38"/>
      <c r="AS534"/>
    </row>
    <row r="535" spans="1:45" x14ac:dyDescent="0.3">
      <c r="A535">
        <v>36</v>
      </c>
      <c r="B535" t="s">
        <v>71</v>
      </c>
      <c r="E535" t="s">
        <v>389</v>
      </c>
      <c r="F535" t="s">
        <v>17</v>
      </c>
      <c r="G535" s="39">
        <v>44725.916666666664</v>
      </c>
      <c r="H535">
        <v>6</v>
      </c>
      <c r="I535">
        <v>2022</v>
      </c>
      <c r="J535" s="38"/>
      <c r="K535" t="s">
        <v>362</v>
      </c>
      <c r="L535" t="s">
        <v>363</v>
      </c>
      <c r="M535" t="s">
        <v>364</v>
      </c>
      <c r="O535"/>
      <c r="P535" t="s">
        <v>138</v>
      </c>
      <c r="Q535" t="s">
        <v>365</v>
      </c>
      <c r="R535" t="s">
        <v>366</v>
      </c>
      <c r="U535" t="b">
        <v>0</v>
      </c>
      <c r="V535" t="b">
        <v>1</v>
      </c>
      <c r="W535" t="b">
        <v>1</v>
      </c>
      <c r="Y535" s="38"/>
      <c r="AS535"/>
    </row>
    <row r="536" spans="1:45" x14ac:dyDescent="0.3">
      <c r="A536">
        <v>35</v>
      </c>
      <c r="B536" t="s">
        <v>71</v>
      </c>
      <c r="E536" t="s">
        <v>387</v>
      </c>
      <c r="F536" t="s">
        <v>17</v>
      </c>
      <c r="G536" s="39">
        <v>44728.916666666664</v>
      </c>
      <c r="H536">
        <v>6</v>
      </c>
      <c r="I536">
        <v>2022</v>
      </c>
      <c r="J536" s="38"/>
      <c r="K536" t="s">
        <v>388</v>
      </c>
      <c r="L536"/>
      <c r="M536" t="s">
        <v>378</v>
      </c>
      <c r="O536"/>
      <c r="P536" t="s">
        <v>371</v>
      </c>
      <c r="Q536" t="s">
        <v>379</v>
      </c>
      <c r="R536" t="s">
        <v>380</v>
      </c>
      <c r="U536" t="b">
        <v>0</v>
      </c>
      <c r="V536" t="b">
        <v>1</v>
      </c>
      <c r="W536" t="b">
        <v>1</v>
      </c>
      <c r="Y536" s="38"/>
      <c r="AS536"/>
    </row>
    <row r="537" spans="1:45" x14ac:dyDescent="0.3">
      <c r="A537">
        <v>34</v>
      </c>
      <c r="B537" t="s">
        <v>71</v>
      </c>
      <c r="E537" t="s">
        <v>386</v>
      </c>
      <c r="F537" t="s">
        <v>17</v>
      </c>
      <c r="G537" s="39">
        <v>44727.916666666664</v>
      </c>
      <c r="H537">
        <v>6</v>
      </c>
      <c r="I537">
        <v>2022</v>
      </c>
      <c r="J537" s="38"/>
      <c r="K537" t="s">
        <v>84</v>
      </c>
      <c r="L537" t="s">
        <v>369</v>
      </c>
      <c r="M537" t="s">
        <v>282</v>
      </c>
      <c r="O537"/>
      <c r="P537" t="s">
        <v>138</v>
      </c>
      <c r="Q537" t="s">
        <v>283</v>
      </c>
      <c r="R537" t="s">
        <v>284</v>
      </c>
      <c r="U537" t="b">
        <v>0</v>
      </c>
      <c r="V537" t="b">
        <v>1</v>
      </c>
      <c r="W537" t="b">
        <v>1</v>
      </c>
      <c r="Y537" s="38"/>
      <c r="AS537"/>
    </row>
    <row r="538" spans="1:45" x14ac:dyDescent="0.3">
      <c r="A538">
        <v>33</v>
      </c>
      <c r="B538" t="s">
        <v>71</v>
      </c>
      <c r="E538" t="s">
        <v>385</v>
      </c>
      <c r="F538" t="s">
        <v>17</v>
      </c>
      <c r="G538" s="39">
        <v>44727.916666666664</v>
      </c>
      <c r="H538">
        <v>6</v>
      </c>
      <c r="I538">
        <v>2022</v>
      </c>
      <c r="J538" s="38"/>
      <c r="K538" t="s">
        <v>89</v>
      </c>
      <c r="L538" t="s">
        <v>346</v>
      </c>
      <c r="M538" t="s">
        <v>90</v>
      </c>
      <c r="O538"/>
      <c r="P538" t="s">
        <v>138</v>
      </c>
      <c r="Q538" t="s">
        <v>91</v>
      </c>
      <c r="R538" t="s">
        <v>92</v>
      </c>
      <c r="U538" t="b">
        <v>0</v>
      </c>
      <c r="V538" t="b">
        <v>1</v>
      </c>
      <c r="W538" t="b">
        <v>1</v>
      </c>
      <c r="Y538" s="38"/>
      <c r="AS538"/>
    </row>
    <row r="539" spans="1:45" x14ac:dyDescent="0.3">
      <c r="A539">
        <v>32</v>
      </c>
      <c r="B539" t="s">
        <v>71</v>
      </c>
      <c r="E539" t="s">
        <v>384</v>
      </c>
      <c r="F539" t="s">
        <v>17</v>
      </c>
      <c r="G539" s="39">
        <v>44720.916666666664</v>
      </c>
      <c r="H539">
        <v>6</v>
      </c>
      <c r="I539">
        <v>2022</v>
      </c>
      <c r="J539" s="38"/>
      <c r="K539" t="s">
        <v>362</v>
      </c>
      <c r="L539" t="s">
        <v>363</v>
      </c>
      <c r="M539" t="s">
        <v>364</v>
      </c>
      <c r="O539"/>
      <c r="P539" t="s">
        <v>101</v>
      </c>
      <c r="Q539" t="s">
        <v>365</v>
      </c>
      <c r="R539" t="s">
        <v>366</v>
      </c>
      <c r="U539" t="b">
        <v>1</v>
      </c>
      <c r="V539" t="b">
        <v>1</v>
      </c>
      <c r="W539" t="b">
        <v>1</v>
      </c>
      <c r="Y539" s="38"/>
      <c r="AS539"/>
    </row>
    <row r="540" spans="1:45" x14ac:dyDescent="0.3">
      <c r="A540">
        <v>31</v>
      </c>
      <c r="B540" t="s">
        <v>71</v>
      </c>
      <c r="E540" t="s">
        <v>383</v>
      </c>
      <c r="F540" t="s">
        <v>17</v>
      </c>
      <c r="G540" s="39">
        <v>44714.916666666664</v>
      </c>
      <c r="H540">
        <v>6</v>
      </c>
      <c r="I540">
        <v>2022</v>
      </c>
      <c r="J540" s="38"/>
      <c r="K540" t="s">
        <v>125</v>
      </c>
      <c r="L540" t="s">
        <v>126</v>
      </c>
      <c r="M540" t="s">
        <v>378</v>
      </c>
      <c r="O540"/>
      <c r="P540" t="s">
        <v>371</v>
      </c>
      <c r="Q540" t="s">
        <v>379</v>
      </c>
      <c r="R540" t="s">
        <v>380</v>
      </c>
      <c r="U540" t="b">
        <v>1</v>
      </c>
      <c r="V540" t="b">
        <v>1</v>
      </c>
      <c r="W540" t="b">
        <v>1</v>
      </c>
      <c r="Y540" s="38"/>
      <c r="AS540"/>
    </row>
    <row r="541" spans="1:45" x14ac:dyDescent="0.3">
      <c r="A541">
        <v>30</v>
      </c>
      <c r="B541" t="s">
        <v>71</v>
      </c>
      <c r="E541" t="s">
        <v>382</v>
      </c>
      <c r="F541" t="s">
        <v>17</v>
      </c>
      <c r="G541" s="39">
        <v>44719.916666666664</v>
      </c>
      <c r="H541">
        <v>6</v>
      </c>
      <c r="I541">
        <v>2022</v>
      </c>
      <c r="J541" s="38"/>
      <c r="K541" t="s">
        <v>151</v>
      </c>
      <c r="L541" t="s">
        <v>348</v>
      </c>
      <c r="M541" t="s">
        <v>85</v>
      </c>
      <c r="O541"/>
      <c r="P541" t="s">
        <v>138</v>
      </c>
      <c r="Q541" t="s">
        <v>86</v>
      </c>
      <c r="R541" t="s">
        <v>87</v>
      </c>
      <c r="U541" t="b">
        <v>1</v>
      </c>
      <c r="V541" t="b">
        <v>1</v>
      </c>
      <c r="W541" t="b">
        <v>1</v>
      </c>
      <c r="Y541" s="38"/>
      <c r="AS541"/>
    </row>
    <row r="542" spans="1:45" x14ac:dyDescent="0.3">
      <c r="A542">
        <v>29</v>
      </c>
      <c r="B542" t="s">
        <v>71</v>
      </c>
      <c r="E542" t="s">
        <v>381</v>
      </c>
      <c r="F542" t="s">
        <v>373</v>
      </c>
      <c r="G542" s="39">
        <v>44711.916666666664</v>
      </c>
      <c r="H542">
        <v>5</v>
      </c>
      <c r="I542">
        <v>2022</v>
      </c>
      <c r="J542" s="38"/>
      <c r="K542" t="s">
        <v>121</v>
      </c>
      <c r="L542" t="s">
        <v>122</v>
      </c>
      <c r="M542" t="s">
        <v>14</v>
      </c>
      <c r="O542"/>
      <c r="P542" t="s">
        <v>333</v>
      </c>
      <c r="Q542" t="s">
        <v>290</v>
      </c>
      <c r="R542" t="s">
        <v>12</v>
      </c>
      <c r="U542" t="b">
        <v>1</v>
      </c>
      <c r="V542" t="b">
        <v>1</v>
      </c>
      <c r="W542" t="b">
        <v>1</v>
      </c>
      <c r="Y542" s="38"/>
      <c r="AS542"/>
    </row>
    <row r="543" spans="1:45" x14ac:dyDescent="0.3">
      <c r="A543">
        <v>28</v>
      </c>
      <c r="B543" t="s">
        <v>71</v>
      </c>
      <c r="E543" t="s">
        <v>377</v>
      </c>
      <c r="F543" t="s">
        <v>17</v>
      </c>
      <c r="G543" s="39">
        <v>44710.916666666664</v>
      </c>
      <c r="H543">
        <v>5</v>
      </c>
      <c r="I543">
        <v>2022</v>
      </c>
      <c r="J543" s="38"/>
      <c r="K543" t="s">
        <v>125</v>
      </c>
      <c r="L543" t="s">
        <v>126</v>
      </c>
      <c r="M543" t="s">
        <v>378</v>
      </c>
      <c r="O543"/>
      <c r="P543" t="s">
        <v>371</v>
      </c>
      <c r="Q543" t="s">
        <v>379</v>
      </c>
      <c r="R543" t="s">
        <v>380</v>
      </c>
      <c r="U543" t="b">
        <v>1</v>
      </c>
      <c r="V543" t="b">
        <v>1</v>
      </c>
      <c r="W543" t="b">
        <v>1</v>
      </c>
      <c r="Y543" s="38"/>
      <c r="AS543"/>
    </row>
    <row r="544" spans="1:45" x14ac:dyDescent="0.3">
      <c r="A544">
        <v>27</v>
      </c>
      <c r="B544" t="s">
        <v>71</v>
      </c>
      <c r="E544" t="s">
        <v>376</v>
      </c>
      <c r="F544" t="s">
        <v>17</v>
      </c>
      <c r="G544" s="39">
        <v>44705.916666666664</v>
      </c>
      <c r="H544">
        <v>5</v>
      </c>
      <c r="I544">
        <v>2022</v>
      </c>
      <c r="J544" s="38"/>
      <c r="K544" t="s">
        <v>82</v>
      </c>
      <c r="L544" t="s">
        <v>350</v>
      </c>
      <c r="M544" t="s">
        <v>93</v>
      </c>
      <c r="O544"/>
      <c r="P544" t="s">
        <v>371</v>
      </c>
      <c r="Q544" t="s">
        <v>94</v>
      </c>
      <c r="R544" t="s">
        <v>87</v>
      </c>
      <c r="U544" t="b">
        <v>1</v>
      </c>
      <c r="V544" t="b">
        <v>1</v>
      </c>
      <c r="W544" t="b">
        <v>1</v>
      </c>
      <c r="Y544" s="38"/>
      <c r="AS544"/>
    </row>
    <row r="545" spans="1:45" x14ac:dyDescent="0.3">
      <c r="A545">
        <v>26</v>
      </c>
      <c r="B545" t="s">
        <v>71</v>
      </c>
      <c r="E545" t="s">
        <v>374</v>
      </c>
      <c r="F545" t="s">
        <v>17</v>
      </c>
      <c r="G545" s="39">
        <v>44705.916666666664</v>
      </c>
      <c r="H545">
        <v>5</v>
      </c>
      <c r="I545">
        <v>2022</v>
      </c>
      <c r="J545" s="38"/>
      <c r="K545" t="s">
        <v>148</v>
      </c>
      <c r="L545" t="s">
        <v>375</v>
      </c>
      <c r="M545" t="s">
        <v>95</v>
      </c>
      <c r="O545"/>
      <c r="P545" t="s">
        <v>371</v>
      </c>
      <c r="Q545" t="s">
        <v>96</v>
      </c>
      <c r="R545" t="s">
        <v>97</v>
      </c>
      <c r="U545" t="b">
        <v>1</v>
      </c>
      <c r="V545" t="b">
        <v>1</v>
      </c>
      <c r="W545" t="b">
        <v>1</v>
      </c>
      <c r="Y545" s="38"/>
      <c r="AS545"/>
    </row>
    <row r="546" spans="1:45" x14ac:dyDescent="0.3">
      <c r="A546">
        <v>25</v>
      </c>
      <c r="B546" t="s">
        <v>71</v>
      </c>
      <c r="E546" t="s">
        <v>372</v>
      </c>
      <c r="F546" t="s">
        <v>373</v>
      </c>
      <c r="G546" s="39">
        <v>44707.916666666664</v>
      </c>
      <c r="H546">
        <v>5</v>
      </c>
      <c r="I546">
        <v>2022</v>
      </c>
      <c r="J546" s="38"/>
      <c r="K546" t="s">
        <v>125</v>
      </c>
      <c r="L546" t="s">
        <v>126</v>
      </c>
      <c r="M546" t="s">
        <v>13</v>
      </c>
      <c r="O546"/>
      <c r="P546" t="s">
        <v>101</v>
      </c>
      <c r="Q546" t="s">
        <v>338</v>
      </c>
      <c r="R546" t="s">
        <v>132</v>
      </c>
      <c r="U546" t="b">
        <v>1</v>
      </c>
      <c r="V546" t="b">
        <v>1</v>
      </c>
      <c r="W546" t="b">
        <v>1</v>
      </c>
      <c r="Y546" s="38"/>
      <c r="AS546"/>
    </row>
    <row r="547" spans="1:45" x14ac:dyDescent="0.3">
      <c r="A547">
        <v>24</v>
      </c>
      <c r="B547" t="s">
        <v>71</v>
      </c>
      <c r="E547" t="s">
        <v>370</v>
      </c>
      <c r="F547" t="s">
        <v>17</v>
      </c>
      <c r="G547" s="39">
        <v>44704.916666666664</v>
      </c>
      <c r="H547">
        <v>5</v>
      </c>
      <c r="I547">
        <v>2022</v>
      </c>
      <c r="J547" s="38"/>
      <c r="K547" t="s">
        <v>125</v>
      </c>
      <c r="L547" t="s">
        <v>126</v>
      </c>
      <c r="M547" t="s">
        <v>13</v>
      </c>
      <c r="O547"/>
      <c r="P547" t="s">
        <v>371</v>
      </c>
      <c r="Q547" t="s">
        <v>338</v>
      </c>
      <c r="R547" t="s">
        <v>132</v>
      </c>
      <c r="U547" t="b">
        <v>1</v>
      </c>
      <c r="V547" t="b">
        <v>1</v>
      </c>
      <c r="W547" t="b">
        <v>1</v>
      </c>
      <c r="Y547" s="38"/>
      <c r="AS547"/>
    </row>
    <row r="548" spans="1:45" x14ac:dyDescent="0.3">
      <c r="A548">
        <v>23</v>
      </c>
      <c r="B548" t="s">
        <v>71</v>
      </c>
      <c r="E548" t="s">
        <v>368</v>
      </c>
      <c r="F548" t="s">
        <v>17</v>
      </c>
      <c r="G548" s="39">
        <v>44704.916666666664</v>
      </c>
      <c r="H548">
        <v>5</v>
      </c>
      <c r="I548">
        <v>2022</v>
      </c>
      <c r="J548" s="38"/>
      <c r="K548" t="s">
        <v>84</v>
      </c>
      <c r="L548" t="s">
        <v>369</v>
      </c>
      <c r="M548" t="s">
        <v>282</v>
      </c>
      <c r="O548"/>
      <c r="P548" t="s">
        <v>138</v>
      </c>
      <c r="Q548" t="s">
        <v>283</v>
      </c>
      <c r="R548" t="s">
        <v>284</v>
      </c>
      <c r="U548" t="b">
        <v>0</v>
      </c>
      <c r="V548" t="b">
        <v>1</v>
      </c>
      <c r="W548" t="b">
        <v>1</v>
      </c>
      <c r="Y548" s="38"/>
      <c r="AS548"/>
    </row>
    <row r="549" spans="1:45" x14ac:dyDescent="0.3">
      <c r="A549">
        <v>22</v>
      </c>
      <c r="B549" t="s">
        <v>71</v>
      </c>
      <c r="E549" t="s">
        <v>367</v>
      </c>
      <c r="F549" t="s">
        <v>17</v>
      </c>
      <c r="G549" s="39">
        <v>44694.916666666664</v>
      </c>
      <c r="H549">
        <v>5</v>
      </c>
      <c r="I549">
        <v>2022</v>
      </c>
      <c r="J549" s="38"/>
      <c r="K549" t="s">
        <v>362</v>
      </c>
      <c r="L549" t="s">
        <v>363</v>
      </c>
      <c r="M549" t="s">
        <v>364</v>
      </c>
      <c r="O549"/>
      <c r="P549" t="s">
        <v>138</v>
      </c>
      <c r="Q549" t="s">
        <v>365</v>
      </c>
      <c r="R549" t="s">
        <v>366</v>
      </c>
      <c r="U549" t="b">
        <v>1</v>
      </c>
      <c r="V549" t="b">
        <v>1</v>
      </c>
      <c r="W549" t="b">
        <v>1</v>
      </c>
      <c r="Y549" s="38"/>
      <c r="AS549"/>
    </row>
    <row r="550" spans="1:45" x14ac:dyDescent="0.3">
      <c r="A550">
        <v>21</v>
      </c>
      <c r="B550" t="s">
        <v>71</v>
      </c>
      <c r="E550" t="s">
        <v>361</v>
      </c>
      <c r="F550" t="s">
        <v>17</v>
      </c>
      <c r="G550" s="39">
        <v>44665.916666666664</v>
      </c>
      <c r="H550">
        <v>4</v>
      </c>
      <c r="I550">
        <v>2022</v>
      </c>
      <c r="J550" s="38"/>
      <c r="K550" t="s">
        <v>362</v>
      </c>
      <c r="L550" t="s">
        <v>363</v>
      </c>
      <c r="M550" t="s">
        <v>364</v>
      </c>
      <c r="O550"/>
      <c r="P550" t="s">
        <v>138</v>
      </c>
      <c r="Q550" t="s">
        <v>365</v>
      </c>
      <c r="R550" t="s">
        <v>366</v>
      </c>
      <c r="U550" t="b">
        <v>1</v>
      </c>
      <c r="V550" t="b">
        <v>1</v>
      </c>
      <c r="W550" t="b">
        <v>1</v>
      </c>
      <c r="Y550" s="38"/>
      <c r="AS550"/>
    </row>
    <row r="551" spans="1:45" x14ac:dyDescent="0.3">
      <c r="A551">
        <v>20</v>
      </c>
      <c r="B551" t="s">
        <v>71</v>
      </c>
      <c r="E551" t="s">
        <v>360</v>
      </c>
      <c r="F551" t="s">
        <v>17</v>
      </c>
      <c r="G551" s="39">
        <v>44674.916666666664</v>
      </c>
      <c r="H551">
        <v>4</v>
      </c>
      <c r="I551">
        <v>2022</v>
      </c>
      <c r="J551" s="38"/>
      <c r="K551" t="s">
        <v>125</v>
      </c>
      <c r="L551" t="s">
        <v>126</v>
      </c>
      <c r="M551" t="s">
        <v>355</v>
      </c>
      <c r="O551"/>
      <c r="P551" t="s">
        <v>333</v>
      </c>
      <c r="Q551" t="s">
        <v>356</v>
      </c>
      <c r="R551" t="s">
        <v>12</v>
      </c>
      <c r="U551" t="b">
        <v>1</v>
      </c>
      <c r="V551" t="b">
        <v>1</v>
      </c>
      <c r="W551" t="b">
        <v>0</v>
      </c>
      <c r="Y551" s="38"/>
      <c r="AS551"/>
    </row>
    <row r="552" spans="1:45" x14ac:dyDescent="0.3">
      <c r="A552">
        <v>19</v>
      </c>
      <c r="B552" t="s">
        <v>71</v>
      </c>
      <c r="E552" t="s">
        <v>359</v>
      </c>
      <c r="F552" t="s">
        <v>17</v>
      </c>
      <c r="G552" s="39">
        <v>44674.916666666664</v>
      </c>
      <c r="H552">
        <v>4</v>
      </c>
      <c r="I552">
        <v>2022</v>
      </c>
      <c r="J552" s="38"/>
      <c r="K552" t="s">
        <v>127</v>
      </c>
      <c r="L552" t="s">
        <v>341</v>
      </c>
      <c r="M552" t="s">
        <v>128</v>
      </c>
      <c r="O552"/>
      <c r="P552" t="s">
        <v>342</v>
      </c>
      <c r="Q552" t="s">
        <v>129</v>
      </c>
      <c r="R552" t="s">
        <v>12</v>
      </c>
      <c r="U552" t="b">
        <v>1</v>
      </c>
      <c r="V552" t="b">
        <v>1</v>
      </c>
      <c r="W552" t="b">
        <v>0</v>
      </c>
      <c r="Y552" s="38"/>
      <c r="AS552"/>
    </row>
    <row r="553" spans="1:45" x14ac:dyDescent="0.3">
      <c r="A553">
        <v>18</v>
      </c>
      <c r="B553" t="s">
        <v>71</v>
      </c>
      <c r="E553" t="s">
        <v>358</v>
      </c>
      <c r="F553" t="s">
        <v>17</v>
      </c>
      <c r="G553" s="39">
        <v>44662.916666666664</v>
      </c>
      <c r="H553">
        <v>4</v>
      </c>
      <c r="I553">
        <v>2022</v>
      </c>
      <c r="J553" s="38"/>
      <c r="K553" t="s">
        <v>125</v>
      </c>
      <c r="L553" t="s">
        <v>126</v>
      </c>
      <c r="M553" t="s">
        <v>123</v>
      </c>
      <c r="O553"/>
      <c r="P553" t="s">
        <v>101</v>
      </c>
      <c r="Q553" t="s">
        <v>139</v>
      </c>
      <c r="R553" t="s">
        <v>117</v>
      </c>
      <c r="U553" t="b">
        <v>0</v>
      </c>
      <c r="V553" t="b">
        <v>1</v>
      </c>
      <c r="W553" t="b">
        <v>1</v>
      </c>
      <c r="Y553" s="38"/>
      <c r="AS553"/>
    </row>
    <row r="554" spans="1:45" x14ac:dyDescent="0.3">
      <c r="A554">
        <v>17</v>
      </c>
      <c r="B554" t="s">
        <v>71</v>
      </c>
      <c r="E554" t="s">
        <v>357</v>
      </c>
      <c r="F554" t="s">
        <v>17</v>
      </c>
      <c r="G554" s="39">
        <v>44660.916666666664</v>
      </c>
      <c r="H554">
        <v>4</v>
      </c>
      <c r="I554">
        <v>2022</v>
      </c>
      <c r="J554" s="38"/>
      <c r="K554" t="s">
        <v>125</v>
      </c>
      <c r="L554" t="s">
        <v>126</v>
      </c>
      <c r="M554" t="s">
        <v>13</v>
      </c>
      <c r="O554"/>
      <c r="P554" t="s">
        <v>101</v>
      </c>
      <c r="Q554" t="s">
        <v>338</v>
      </c>
      <c r="R554" t="s">
        <v>132</v>
      </c>
      <c r="U554" t="b">
        <v>1</v>
      </c>
      <c r="V554" t="b">
        <v>1</v>
      </c>
      <c r="W554" t="b">
        <v>1</v>
      </c>
      <c r="Y554" s="38"/>
      <c r="AS554"/>
    </row>
    <row r="555" spans="1:45" x14ac:dyDescent="0.3">
      <c r="A555">
        <v>16</v>
      </c>
      <c r="B555" t="s">
        <v>71</v>
      </c>
      <c r="E555" t="s">
        <v>354</v>
      </c>
      <c r="F555" t="s">
        <v>17</v>
      </c>
      <c r="G555" s="39">
        <v>44660.916666666664</v>
      </c>
      <c r="H555">
        <v>4</v>
      </c>
      <c r="I555">
        <v>2022</v>
      </c>
      <c r="J555" s="38"/>
      <c r="K555" t="s">
        <v>125</v>
      </c>
      <c r="L555" t="s">
        <v>126</v>
      </c>
      <c r="M555" t="s">
        <v>355</v>
      </c>
      <c r="O555"/>
      <c r="P555" t="s">
        <v>333</v>
      </c>
      <c r="Q555" t="s">
        <v>356</v>
      </c>
      <c r="R555" t="s">
        <v>12</v>
      </c>
      <c r="U555" t="b">
        <v>0</v>
      </c>
      <c r="V555" t="b">
        <v>1</v>
      </c>
      <c r="W555" t="b">
        <v>1</v>
      </c>
      <c r="Y555" s="38"/>
      <c r="AS555"/>
    </row>
    <row r="556" spans="1:45" x14ac:dyDescent="0.3">
      <c r="A556">
        <v>15</v>
      </c>
      <c r="B556" t="s">
        <v>71</v>
      </c>
      <c r="E556" t="s">
        <v>353</v>
      </c>
      <c r="F556" t="s">
        <v>17</v>
      </c>
      <c r="G556" s="39">
        <v>44660.916666666664</v>
      </c>
      <c r="H556">
        <v>4</v>
      </c>
      <c r="I556">
        <v>2022</v>
      </c>
      <c r="J556" s="38"/>
      <c r="K556" t="s">
        <v>127</v>
      </c>
      <c r="L556" t="s">
        <v>341</v>
      </c>
      <c r="M556" t="s">
        <v>13</v>
      </c>
      <c r="O556"/>
      <c r="P556" t="s">
        <v>342</v>
      </c>
      <c r="Q556" t="s">
        <v>145</v>
      </c>
      <c r="R556" t="s">
        <v>12</v>
      </c>
      <c r="U556" t="b">
        <v>1</v>
      </c>
      <c r="V556" t="b">
        <v>1</v>
      </c>
      <c r="W556" t="b">
        <v>1</v>
      </c>
      <c r="Y556" s="38"/>
      <c r="AS556"/>
    </row>
    <row r="557" spans="1:45" x14ac:dyDescent="0.3">
      <c r="A557">
        <v>14</v>
      </c>
      <c r="B557" t="s">
        <v>71</v>
      </c>
      <c r="E557" t="s">
        <v>352</v>
      </c>
      <c r="F557" t="s">
        <v>17</v>
      </c>
      <c r="G557" s="39">
        <v>44661.916666666664</v>
      </c>
      <c r="H557">
        <v>4</v>
      </c>
      <c r="I557">
        <v>2022</v>
      </c>
      <c r="J557" s="38"/>
      <c r="K557" t="s">
        <v>133</v>
      </c>
      <c r="L557" t="s">
        <v>134</v>
      </c>
      <c r="M557" t="s">
        <v>14</v>
      </c>
      <c r="O557"/>
      <c r="P557" t="s">
        <v>333</v>
      </c>
      <c r="Q557" t="s">
        <v>335</v>
      </c>
      <c r="R557" t="s">
        <v>336</v>
      </c>
      <c r="U557" t="b">
        <v>1</v>
      </c>
      <c r="V557" t="b">
        <v>1</v>
      </c>
      <c r="W557" t="b">
        <v>1</v>
      </c>
      <c r="Y557" s="38"/>
      <c r="AS557"/>
    </row>
    <row r="558" spans="1:45" x14ac:dyDescent="0.3">
      <c r="A558">
        <v>13</v>
      </c>
      <c r="B558" t="s">
        <v>71</v>
      </c>
      <c r="E558" t="s">
        <v>351</v>
      </c>
      <c r="F558" t="s">
        <v>17</v>
      </c>
      <c r="G558" s="39">
        <v>44660.916666666664</v>
      </c>
      <c r="H558">
        <v>4</v>
      </c>
      <c r="I558">
        <v>2022</v>
      </c>
      <c r="J558" s="38"/>
      <c r="K558" t="s">
        <v>82</v>
      </c>
      <c r="L558" t="s">
        <v>350</v>
      </c>
      <c r="M558" t="s">
        <v>93</v>
      </c>
      <c r="O558"/>
      <c r="P558" t="s">
        <v>138</v>
      </c>
      <c r="Q558" t="s">
        <v>94</v>
      </c>
      <c r="R558" t="s">
        <v>87</v>
      </c>
      <c r="U558" t="b">
        <v>1</v>
      </c>
      <c r="V558" t="b">
        <v>1</v>
      </c>
      <c r="W558" t="b">
        <v>1</v>
      </c>
      <c r="Y558" s="38"/>
      <c r="AS558"/>
    </row>
    <row r="559" spans="1:45" x14ac:dyDescent="0.3">
      <c r="A559">
        <v>12</v>
      </c>
      <c r="B559" t="s">
        <v>71</v>
      </c>
      <c r="E559" t="s">
        <v>349</v>
      </c>
      <c r="F559" t="s">
        <v>17</v>
      </c>
      <c r="G559" s="39">
        <v>44660.916666666664</v>
      </c>
      <c r="H559">
        <v>4</v>
      </c>
      <c r="I559">
        <v>2022</v>
      </c>
      <c r="J559" s="38"/>
      <c r="K559" t="s">
        <v>82</v>
      </c>
      <c r="L559" t="s">
        <v>350</v>
      </c>
      <c r="M559" t="s">
        <v>93</v>
      </c>
      <c r="O559"/>
      <c r="P559" t="s">
        <v>138</v>
      </c>
      <c r="Q559" t="s">
        <v>94</v>
      </c>
      <c r="R559" t="s">
        <v>87</v>
      </c>
      <c r="U559" t="b">
        <v>0</v>
      </c>
      <c r="V559" t="b">
        <v>1</v>
      </c>
      <c r="W559" t="b">
        <v>1</v>
      </c>
      <c r="Y559" s="38"/>
      <c r="AS559"/>
    </row>
    <row r="560" spans="1:45" x14ac:dyDescent="0.3">
      <c r="A560">
        <v>11</v>
      </c>
      <c r="B560" t="s">
        <v>71</v>
      </c>
      <c r="E560" t="s">
        <v>347</v>
      </c>
      <c r="F560" t="s">
        <v>17</v>
      </c>
      <c r="G560" s="39">
        <v>44661.916666666664</v>
      </c>
      <c r="H560">
        <v>4</v>
      </c>
      <c r="I560">
        <v>2022</v>
      </c>
      <c r="J560" s="38"/>
      <c r="K560" t="s">
        <v>151</v>
      </c>
      <c r="L560" t="s">
        <v>348</v>
      </c>
      <c r="M560" t="s">
        <v>85</v>
      </c>
      <c r="O560"/>
      <c r="P560" t="s">
        <v>138</v>
      </c>
      <c r="Q560" t="s">
        <v>86</v>
      </c>
      <c r="R560" t="s">
        <v>87</v>
      </c>
      <c r="U560" t="b">
        <v>1</v>
      </c>
      <c r="V560" t="b">
        <v>1</v>
      </c>
      <c r="W560" t="b">
        <v>1</v>
      </c>
      <c r="Y560" s="38"/>
      <c r="AS560"/>
    </row>
    <row r="561" spans="1:45" x14ac:dyDescent="0.3">
      <c r="A561">
        <v>10</v>
      </c>
      <c r="B561" t="s">
        <v>71</v>
      </c>
      <c r="E561" t="s">
        <v>345</v>
      </c>
      <c r="F561" t="s">
        <v>17</v>
      </c>
      <c r="G561" s="39">
        <v>44660.916666666664</v>
      </c>
      <c r="H561">
        <v>4</v>
      </c>
      <c r="I561">
        <v>2022</v>
      </c>
      <c r="J561" s="38"/>
      <c r="K561" t="s">
        <v>89</v>
      </c>
      <c r="L561" t="s">
        <v>346</v>
      </c>
      <c r="M561" t="s">
        <v>90</v>
      </c>
      <c r="O561"/>
      <c r="P561" t="s">
        <v>138</v>
      </c>
      <c r="Q561" t="s">
        <v>91</v>
      </c>
      <c r="R561" t="s">
        <v>92</v>
      </c>
      <c r="U561" t="b">
        <v>0</v>
      </c>
      <c r="V561" t="b">
        <v>1</v>
      </c>
      <c r="W561" t="b">
        <v>1</v>
      </c>
      <c r="Y561" s="38"/>
      <c r="AS561"/>
    </row>
    <row r="562" spans="1:45" x14ac:dyDescent="0.3">
      <c r="A562">
        <v>9</v>
      </c>
      <c r="B562" t="s">
        <v>71</v>
      </c>
      <c r="E562" t="s">
        <v>344</v>
      </c>
      <c r="F562" t="s">
        <v>17</v>
      </c>
      <c r="G562" s="39">
        <v>44660.916666666664</v>
      </c>
      <c r="H562">
        <v>4</v>
      </c>
      <c r="I562">
        <v>2022</v>
      </c>
      <c r="J562" s="38"/>
      <c r="K562" t="s">
        <v>127</v>
      </c>
      <c r="L562" t="s">
        <v>341</v>
      </c>
      <c r="M562" t="s">
        <v>128</v>
      </c>
      <c r="O562"/>
      <c r="P562" t="s">
        <v>342</v>
      </c>
      <c r="Q562" t="s">
        <v>129</v>
      </c>
      <c r="R562" t="s">
        <v>12</v>
      </c>
      <c r="U562" t="b">
        <v>0</v>
      </c>
      <c r="V562" t="b">
        <v>1</v>
      </c>
      <c r="W562" t="b">
        <v>1</v>
      </c>
      <c r="Y562" s="38"/>
      <c r="AS562"/>
    </row>
    <row r="563" spans="1:45" x14ac:dyDescent="0.3">
      <c r="A563">
        <v>8</v>
      </c>
      <c r="B563" t="s">
        <v>71</v>
      </c>
      <c r="E563" t="s">
        <v>343</v>
      </c>
      <c r="F563" t="s">
        <v>17</v>
      </c>
      <c r="G563" s="39">
        <v>44660.916666666664</v>
      </c>
      <c r="H563">
        <v>4</v>
      </c>
      <c r="I563">
        <v>2022</v>
      </c>
      <c r="J563" s="38"/>
      <c r="K563" t="s">
        <v>125</v>
      </c>
      <c r="L563" t="s">
        <v>126</v>
      </c>
      <c r="M563" t="s">
        <v>123</v>
      </c>
      <c r="O563"/>
      <c r="P563" t="s">
        <v>101</v>
      </c>
      <c r="Q563" t="s">
        <v>139</v>
      </c>
      <c r="R563" t="s">
        <v>117</v>
      </c>
      <c r="U563" t="b">
        <v>1</v>
      </c>
      <c r="V563" t="b">
        <v>1</v>
      </c>
      <c r="W563" t="b">
        <v>0</v>
      </c>
      <c r="Y563" s="38"/>
      <c r="AS563"/>
    </row>
    <row r="564" spans="1:45" x14ac:dyDescent="0.3">
      <c r="A564">
        <v>7</v>
      </c>
      <c r="B564" t="s">
        <v>71</v>
      </c>
      <c r="E564" t="s">
        <v>340</v>
      </c>
      <c r="F564" t="s">
        <v>17</v>
      </c>
      <c r="G564" s="39">
        <v>44660.916666666664</v>
      </c>
      <c r="H564">
        <v>4</v>
      </c>
      <c r="I564">
        <v>2022</v>
      </c>
      <c r="J564" s="38"/>
      <c r="K564" t="s">
        <v>127</v>
      </c>
      <c r="L564" t="s">
        <v>341</v>
      </c>
      <c r="M564" t="s">
        <v>128</v>
      </c>
      <c r="O564"/>
      <c r="P564" t="s">
        <v>342</v>
      </c>
      <c r="Q564" t="s">
        <v>129</v>
      </c>
      <c r="R564" t="s">
        <v>12</v>
      </c>
      <c r="U564" t="b">
        <v>0</v>
      </c>
      <c r="V564" t="b">
        <v>1</v>
      </c>
      <c r="W564" t="b">
        <v>0</v>
      </c>
      <c r="Y564" s="38"/>
      <c r="AS564"/>
    </row>
    <row r="565" spans="1:45" x14ac:dyDescent="0.3">
      <c r="A565">
        <v>6</v>
      </c>
      <c r="B565" t="s">
        <v>71</v>
      </c>
      <c r="E565" t="s">
        <v>339</v>
      </c>
      <c r="F565" t="s">
        <v>17</v>
      </c>
      <c r="G565" s="39">
        <v>44661.916666666664</v>
      </c>
      <c r="H565">
        <v>4</v>
      </c>
      <c r="I565">
        <v>2022</v>
      </c>
      <c r="J565" s="38"/>
      <c r="K565" t="s">
        <v>125</v>
      </c>
      <c r="L565" t="s">
        <v>126</v>
      </c>
      <c r="M565" t="s">
        <v>123</v>
      </c>
      <c r="O565"/>
      <c r="P565" t="s">
        <v>101</v>
      </c>
      <c r="Q565" t="s">
        <v>139</v>
      </c>
      <c r="R565" t="s">
        <v>117</v>
      </c>
      <c r="U565" t="b">
        <v>1</v>
      </c>
      <c r="V565" t="b">
        <v>1</v>
      </c>
      <c r="W565" t="b">
        <v>0</v>
      </c>
      <c r="Y565" s="38"/>
      <c r="AS565"/>
    </row>
    <row r="566" spans="1:45" x14ac:dyDescent="0.3">
      <c r="A566">
        <v>5</v>
      </c>
      <c r="B566" t="s">
        <v>71</v>
      </c>
      <c r="E566" t="s">
        <v>337</v>
      </c>
      <c r="F566" t="s">
        <v>17</v>
      </c>
      <c r="G566" s="39">
        <v>44654.916666666664</v>
      </c>
      <c r="H566">
        <v>4</v>
      </c>
      <c r="I566">
        <v>2022</v>
      </c>
      <c r="J566" s="38"/>
      <c r="K566" t="s">
        <v>125</v>
      </c>
      <c r="L566" t="s">
        <v>126</v>
      </c>
      <c r="M566" t="s">
        <v>13</v>
      </c>
      <c r="O566"/>
      <c r="P566" t="s">
        <v>101</v>
      </c>
      <c r="Q566" t="s">
        <v>338</v>
      </c>
      <c r="R566" t="s">
        <v>132</v>
      </c>
      <c r="U566" t="b">
        <v>1</v>
      </c>
      <c r="V566" t="b">
        <v>1</v>
      </c>
      <c r="W566" t="b">
        <v>1</v>
      </c>
      <c r="Y566" s="38"/>
      <c r="AS566"/>
    </row>
    <row r="567" spans="1:45" x14ac:dyDescent="0.3">
      <c r="A567">
        <v>4</v>
      </c>
      <c r="B567" t="s">
        <v>71</v>
      </c>
      <c r="E567" t="s">
        <v>334</v>
      </c>
      <c r="F567" t="s">
        <v>17</v>
      </c>
      <c r="G567" s="39">
        <v>44656.916666666664</v>
      </c>
      <c r="H567">
        <v>4</v>
      </c>
      <c r="I567">
        <v>2022</v>
      </c>
      <c r="J567" s="38"/>
      <c r="K567" t="s">
        <v>133</v>
      </c>
      <c r="L567" t="s">
        <v>134</v>
      </c>
      <c r="M567" t="s">
        <v>14</v>
      </c>
      <c r="O567"/>
      <c r="P567" t="s">
        <v>333</v>
      </c>
      <c r="Q567" t="s">
        <v>335</v>
      </c>
      <c r="R567" t="s">
        <v>336</v>
      </c>
      <c r="U567" t="b">
        <v>1</v>
      </c>
      <c r="V567" t="b">
        <v>1</v>
      </c>
      <c r="W567" t="b">
        <v>1</v>
      </c>
      <c r="Y567" s="38"/>
      <c r="AS567"/>
    </row>
    <row r="568" spans="1:45" x14ac:dyDescent="0.3">
      <c r="A568">
        <v>3</v>
      </c>
      <c r="B568" t="s">
        <v>71</v>
      </c>
      <c r="E568" t="s">
        <v>332</v>
      </c>
      <c r="F568" t="s">
        <v>17</v>
      </c>
      <c r="G568" s="39">
        <v>44657.916666666664</v>
      </c>
      <c r="H568">
        <v>4</v>
      </c>
      <c r="I568">
        <v>2022</v>
      </c>
      <c r="J568" s="38"/>
      <c r="K568" t="s">
        <v>121</v>
      </c>
      <c r="L568" t="s">
        <v>122</v>
      </c>
      <c r="M568" t="s">
        <v>14</v>
      </c>
      <c r="O568"/>
      <c r="P568" t="s">
        <v>333</v>
      </c>
      <c r="Q568" t="s">
        <v>290</v>
      </c>
      <c r="R568" t="s">
        <v>12</v>
      </c>
      <c r="U568" t="b">
        <v>0</v>
      </c>
      <c r="V568" t="b">
        <v>1</v>
      </c>
      <c r="W568" t="b">
        <v>1</v>
      </c>
      <c r="Y568" s="38"/>
    </row>
    <row r="569" spans="1:45" x14ac:dyDescent="0.3">
      <c r="A569">
        <v>2</v>
      </c>
      <c r="B569" t="s">
        <v>71</v>
      </c>
      <c r="E569" t="s">
        <v>331</v>
      </c>
      <c r="F569" t="s">
        <v>17</v>
      </c>
      <c r="G569" s="39">
        <v>44541.958333333336</v>
      </c>
      <c r="H569">
        <v>12</v>
      </c>
      <c r="I569">
        <v>2021</v>
      </c>
      <c r="J569" s="38"/>
      <c r="K569" t="s">
        <v>125</v>
      </c>
      <c r="L569" t="s">
        <v>126</v>
      </c>
      <c r="M569" t="s">
        <v>123</v>
      </c>
      <c r="O569"/>
      <c r="P569" t="s">
        <v>101</v>
      </c>
      <c r="Q569" t="s">
        <v>139</v>
      </c>
      <c r="R569" t="s">
        <v>117</v>
      </c>
      <c r="U569" t="b">
        <v>1</v>
      </c>
      <c r="V569" t="b">
        <v>1</v>
      </c>
      <c r="W569" t="b">
        <v>1</v>
      </c>
      <c r="Y569" s="38"/>
    </row>
    <row r="570" spans="1:45" x14ac:dyDescent="0.3">
      <c r="A570">
        <v>1</v>
      </c>
      <c r="B570" t="s">
        <v>71</v>
      </c>
      <c r="E570" t="s">
        <v>330</v>
      </c>
      <c r="F570" t="s">
        <v>17</v>
      </c>
      <c r="G570" s="39">
        <v>44541.958333333336</v>
      </c>
      <c r="H570">
        <v>12</v>
      </c>
      <c r="I570">
        <v>2021</v>
      </c>
      <c r="J570" s="38"/>
      <c r="K570" t="s">
        <v>102</v>
      </c>
      <c r="L570" t="s">
        <v>103</v>
      </c>
      <c r="M570" t="s">
        <v>104</v>
      </c>
      <c r="O570"/>
      <c r="P570" t="s">
        <v>83</v>
      </c>
      <c r="Q570" t="s">
        <v>105</v>
      </c>
      <c r="R570" t="s">
        <v>87</v>
      </c>
      <c r="U570" t="b">
        <v>1</v>
      </c>
      <c r="V570" t="b">
        <v>1</v>
      </c>
      <c r="W570" t="b">
        <v>1</v>
      </c>
      <c r="Y570" s="3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9935A-A147-4F41-84EF-09B64483F051}">
  <sheetPr codeName="Tabelle2"/>
  <dimension ref="A1:AT29"/>
  <sheetViews>
    <sheetView workbookViewId="0">
      <selection activeCell="AI1" sqref="AI1"/>
    </sheetView>
  </sheetViews>
  <sheetFormatPr defaultColWidth="11.5546875" defaultRowHeight="14.4" x14ac:dyDescent="0.3"/>
  <cols>
    <col min="1" max="1" width="22" bestFit="1" customWidth="1"/>
    <col min="2" max="2" width="4.88671875" bestFit="1" customWidth="1"/>
    <col min="3" max="4" width="26.21875" bestFit="1" customWidth="1"/>
    <col min="5" max="5" width="63.5546875" bestFit="1" customWidth="1"/>
    <col min="6" max="6" width="12.44140625" bestFit="1" customWidth="1"/>
    <col min="7" max="7" width="42.6640625" bestFit="1" customWidth="1"/>
    <col min="8" max="8" width="11.33203125" bestFit="1" customWidth="1"/>
    <col min="9" max="9" width="32.44140625" bestFit="1" customWidth="1"/>
    <col min="10" max="10" width="17.77734375" bestFit="1" customWidth="1"/>
    <col min="11" max="11" width="80.88671875" bestFit="1" customWidth="1"/>
    <col min="12" max="12" width="13" bestFit="1" customWidth="1"/>
    <col min="13" max="13" width="12" bestFit="1" customWidth="1"/>
    <col min="14" max="14" width="14.33203125" bestFit="1" customWidth="1"/>
    <col min="15" max="15" width="19.44140625" bestFit="1" customWidth="1"/>
    <col min="16" max="16" width="11.109375" bestFit="1" customWidth="1"/>
    <col min="17" max="17" width="16.109375" bestFit="1" customWidth="1"/>
    <col min="18" max="18" width="14.44140625" bestFit="1" customWidth="1"/>
    <col min="19" max="19" width="80.88671875" bestFit="1" customWidth="1"/>
    <col min="20" max="20" width="8.5546875" bestFit="1" customWidth="1"/>
    <col min="21" max="21" width="14.77734375" bestFit="1" customWidth="1"/>
    <col min="22" max="22" width="15.6640625" bestFit="1" customWidth="1"/>
    <col min="23" max="23" width="11.77734375" bestFit="1" customWidth="1"/>
    <col min="24" max="24" width="17" bestFit="1" customWidth="1"/>
    <col min="25" max="25" width="32.21875" bestFit="1" customWidth="1"/>
    <col min="26" max="26" width="18.109375" bestFit="1" customWidth="1"/>
    <col min="27" max="27" width="13.21875" bestFit="1" customWidth="1"/>
    <col min="28" max="28" width="80.88671875" bestFit="1" customWidth="1"/>
    <col min="29" max="29" width="21.21875" bestFit="1" customWidth="1"/>
    <col min="30" max="31" width="61.44140625" bestFit="1" customWidth="1"/>
    <col min="32" max="32" width="11.44140625" bestFit="1" customWidth="1"/>
    <col min="33" max="33" width="15.6640625" bestFit="1" customWidth="1"/>
    <col min="34" max="34" width="18.33203125" bestFit="1" customWidth="1"/>
    <col min="35" max="35" width="61.44140625" bestFit="1" customWidth="1"/>
    <col min="36" max="36" width="40.88671875" bestFit="1" customWidth="1"/>
    <col min="37" max="37" width="18" bestFit="1" customWidth="1"/>
    <col min="38" max="38" width="19.44140625" bestFit="1" customWidth="1"/>
    <col min="39" max="39" width="6" bestFit="1" customWidth="1"/>
    <col min="40" max="41" width="12" bestFit="1" customWidth="1"/>
    <col min="42" max="42" width="10.77734375" bestFit="1" customWidth="1"/>
    <col min="43" max="43" width="9.88671875" bestFit="1" customWidth="1"/>
    <col min="44" max="44" width="23.88671875" bestFit="1" customWidth="1"/>
    <col min="45" max="45" width="14" bestFit="1" customWidth="1"/>
    <col min="46" max="46" width="36.21875" bestFit="1" customWidth="1"/>
  </cols>
  <sheetData>
    <row r="1" spans="1:46" x14ac:dyDescent="0.3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61</v>
      </c>
      <c r="G1" t="s">
        <v>18</v>
      </c>
      <c r="H1" t="s">
        <v>62</v>
      </c>
      <c r="I1" t="s">
        <v>22</v>
      </c>
      <c r="J1" t="s">
        <v>63</v>
      </c>
      <c r="K1" t="s">
        <v>26</v>
      </c>
      <c r="L1" t="s">
        <v>23</v>
      </c>
      <c r="M1" t="s">
        <v>24</v>
      </c>
      <c r="N1" t="s">
        <v>55</v>
      </c>
      <c r="O1" t="s">
        <v>56</v>
      </c>
      <c r="P1" t="s">
        <v>57</v>
      </c>
      <c r="Q1" t="s">
        <v>58</v>
      </c>
      <c r="R1" t="s">
        <v>27</v>
      </c>
      <c r="S1" t="s">
        <v>38</v>
      </c>
      <c r="T1" t="s">
        <v>64</v>
      </c>
      <c r="U1" t="s">
        <v>25</v>
      </c>
      <c r="V1" t="s">
        <v>231</v>
      </c>
      <c r="W1" t="s">
        <v>65</v>
      </c>
      <c r="X1" t="s">
        <v>66</v>
      </c>
      <c r="Y1" t="s">
        <v>67</v>
      </c>
      <c r="Z1" t="s">
        <v>28</v>
      </c>
      <c r="AA1" t="s">
        <v>29</v>
      </c>
      <c r="AB1" t="s">
        <v>30</v>
      </c>
      <c r="AC1" t="s">
        <v>35</v>
      </c>
      <c r="AD1" t="s">
        <v>37</v>
      </c>
      <c r="AE1" t="s">
        <v>36</v>
      </c>
      <c r="AF1" t="s">
        <v>68</v>
      </c>
      <c r="AG1" t="s">
        <v>69</v>
      </c>
      <c r="AH1" t="s">
        <v>70</v>
      </c>
      <c r="AI1" t="s">
        <v>44</v>
      </c>
      <c r="AJ1" t="s">
        <v>45</v>
      </c>
      <c r="AK1" t="s">
        <v>59</v>
      </c>
      <c r="AL1" t="s">
        <v>53</v>
      </c>
      <c r="AM1" t="s">
        <v>54</v>
      </c>
      <c r="AN1" t="s">
        <v>46</v>
      </c>
      <c r="AO1" t="s">
        <v>47</v>
      </c>
      <c r="AP1" t="s">
        <v>48</v>
      </c>
      <c r="AQ1" t="s">
        <v>49</v>
      </c>
      <c r="AR1" t="s">
        <v>50</v>
      </c>
      <c r="AS1" t="s">
        <v>51</v>
      </c>
      <c r="AT1" t="s">
        <v>52</v>
      </c>
    </row>
    <row r="2" spans="1:46" x14ac:dyDescent="0.3">
      <c r="A2">
        <v>0</v>
      </c>
      <c r="B2">
        <v>403</v>
      </c>
      <c r="D2" t="s">
        <v>19</v>
      </c>
      <c r="E2" t="s">
        <v>978</v>
      </c>
      <c r="F2" t="s">
        <v>301</v>
      </c>
      <c r="G2" t="s">
        <v>710</v>
      </c>
      <c r="H2" t="b">
        <v>1</v>
      </c>
      <c r="I2" t="s">
        <v>979</v>
      </c>
      <c r="J2" t="s">
        <v>314</v>
      </c>
      <c r="L2">
        <v>45853.333333333336</v>
      </c>
      <c r="M2">
        <v>45853.375</v>
      </c>
      <c r="N2" t="s">
        <v>20</v>
      </c>
      <c r="O2" t="s">
        <v>20</v>
      </c>
      <c r="P2" t="s">
        <v>20</v>
      </c>
      <c r="Q2" t="s">
        <v>20</v>
      </c>
      <c r="R2" t="s">
        <v>17</v>
      </c>
      <c r="S2" t="s">
        <v>980</v>
      </c>
      <c r="T2" t="s">
        <v>178</v>
      </c>
      <c r="U2" t="s">
        <v>14</v>
      </c>
      <c r="W2" t="b">
        <v>0</v>
      </c>
      <c r="X2" t="s">
        <v>269</v>
      </c>
      <c r="Y2" t="s">
        <v>979</v>
      </c>
      <c r="AA2" t="s">
        <v>32</v>
      </c>
      <c r="AB2" t="s">
        <v>981</v>
      </c>
      <c r="AC2" t="s">
        <v>982</v>
      </c>
      <c r="AF2" t="s">
        <v>522</v>
      </c>
      <c r="AG2">
        <v>45851.916666666664</v>
      </c>
      <c r="AH2" t="s">
        <v>794</v>
      </c>
      <c r="AI2" t="s">
        <v>983</v>
      </c>
      <c r="AJ2" t="s">
        <v>270</v>
      </c>
      <c r="AM2">
        <v>403</v>
      </c>
      <c r="AN2">
        <v>45858.556145833332</v>
      </c>
      <c r="AO2">
        <v>45855.848460648151</v>
      </c>
      <c r="AP2">
        <v>10</v>
      </c>
      <c r="AQ2">
        <v>10</v>
      </c>
      <c r="AR2" t="s">
        <v>21</v>
      </c>
      <c r="AS2" t="b">
        <v>0</v>
      </c>
      <c r="AT2" t="s">
        <v>984</v>
      </c>
    </row>
    <row r="3" spans="1:46" x14ac:dyDescent="0.3">
      <c r="A3">
        <v>0</v>
      </c>
      <c r="B3">
        <v>405</v>
      </c>
      <c r="D3" t="s">
        <v>19</v>
      </c>
      <c r="E3" t="s">
        <v>985</v>
      </c>
      <c r="F3" t="s">
        <v>77</v>
      </c>
      <c r="G3" t="s">
        <v>228</v>
      </c>
      <c r="H3" t="b">
        <v>1</v>
      </c>
      <c r="I3" t="s">
        <v>869</v>
      </c>
      <c r="J3" t="s">
        <v>314</v>
      </c>
      <c r="L3">
        <v>45859.375</v>
      </c>
      <c r="M3">
        <v>45859.4375</v>
      </c>
      <c r="N3" t="s">
        <v>20</v>
      </c>
      <c r="O3" t="s">
        <v>20</v>
      </c>
      <c r="P3" t="s">
        <v>20</v>
      </c>
      <c r="Q3" t="s">
        <v>20</v>
      </c>
      <c r="R3" t="s">
        <v>986</v>
      </c>
      <c r="S3" t="s">
        <v>987</v>
      </c>
      <c r="T3" t="s">
        <v>178</v>
      </c>
      <c r="U3" t="s">
        <v>14</v>
      </c>
      <c r="W3" t="b">
        <v>0</v>
      </c>
      <c r="X3" t="s">
        <v>72</v>
      </c>
      <c r="AA3" t="s">
        <v>79</v>
      </c>
      <c r="AB3" t="s">
        <v>988</v>
      </c>
      <c r="AC3" t="s">
        <v>982</v>
      </c>
      <c r="AH3" t="s">
        <v>794</v>
      </c>
      <c r="AI3" t="s">
        <v>989</v>
      </c>
      <c r="AJ3" t="s">
        <v>270</v>
      </c>
      <c r="AM3">
        <v>405</v>
      </c>
      <c r="AN3">
        <v>45859.54619212963</v>
      </c>
      <c r="AO3">
        <v>45858.56144675926</v>
      </c>
      <c r="AP3">
        <v>10</v>
      </c>
      <c r="AQ3">
        <v>10</v>
      </c>
      <c r="AR3" t="s">
        <v>21</v>
      </c>
      <c r="AS3" t="b">
        <v>0</v>
      </c>
      <c r="AT3" t="s">
        <v>990</v>
      </c>
    </row>
    <row r="4" spans="1:46" x14ac:dyDescent="0.3">
      <c r="A4">
        <v>0</v>
      </c>
      <c r="B4">
        <v>406</v>
      </c>
      <c r="D4" t="s">
        <v>19</v>
      </c>
      <c r="E4" t="s">
        <v>868</v>
      </c>
      <c r="F4" t="s">
        <v>71</v>
      </c>
      <c r="G4" t="s">
        <v>934</v>
      </c>
      <c r="H4" t="b">
        <v>1</v>
      </c>
      <c r="I4" t="s">
        <v>869</v>
      </c>
      <c r="J4" t="s">
        <v>314</v>
      </c>
      <c r="L4">
        <v>45859.479166666664</v>
      </c>
      <c r="M4">
        <v>45859.5</v>
      </c>
      <c r="N4" t="s">
        <v>20</v>
      </c>
      <c r="O4" t="s">
        <v>20</v>
      </c>
      <c r="P4" t="s">
        <v>20</v>
      </c>
      <c r="Q4" t="s">
        <v>20</v>
      </c>
      <c r="R4" t="s">
        <v>986</v>
      </c>
      <c r="S4" t="s">
        <v>991</v>
      </c>
      <c r="T4" t="s">
        <v>178</v>
      </c>
      <c r="U4" t="s">
        <v>14</v>
      </c>
      <c r="W4" t="b">
        <v>0</v>
      </c>
      <c r="X4" t="s">
        <v>159</v>
      </c>
      <c r="AA4" t="s">
        <v>32</v>
      </c>
      <c r="AB4" t="s">
        <v>992</v>
      </c>
      <c r="AC4" t="s">
        <v>982</v>
      </c>
      <c r="AH4" t="s">
        <v>794</v>
      </c>
      <c r="AI4" t="s">
        <v>993</v>
      </c>
      <c r="AJ4" t="s">
        <v>270</v>
      </c>
      <c r="AM4">
        <v>406</v>
      </c>
      <c r="AN4">
        <v>45859.57203703704</v>
      </c>
      <c r="AO4">
        <v>45858.664953703701</v>
      </c>
      <c r="AP4">
        <v>10</v>
      </c>
      <c r="AQ4">
        <v>10</v>
      </c>
      <c r="AR4" t="s">
        <v>21</v>
      </c>
      <c r="AS4" t="b">
        <v>0</v>
      </c>
      <c r="AT4" t="s">
        <v>994</v>
      </c>
    </row>
    <row r="5" spans="1:46" x14ac:dyDescent="0.3">
      <c r="A5">
        <v>0</v>
      </c>
      <c r="B5">
        <v>409</v>
      </c>
      <c r="D5" t="s">
        <v>19</v>
      </c>
      <c r="E5" t="s">
        <v>985</v>
      </c>
      <c r="F5" t="s">
        <v>77</v>
      </c>
      <c r="G5" t="s">
        <v>228</v>
      </c>
      <c r="H5" t="b">
        <v>1</v>
      </c>
      <c r="I5" t="s">
        <v>869</v>
      </c>
      <c r="L5">
        <v>46223.920138888891</v>
      </c>
      <c r="M5">
        <v>46223.940972222219</v>
      </c>
      <c r="N5" t="s">
        <v>20</v>
      </c>
      <c r="O5" t="s">
        <v>20</v>
      </c>
      <c r="P5" t="s">
        <v>20</v>
      </c>
      <c r="Q5" t="s">
        <v>20</v>
      </c>
      <c r="S5" t="s">
        <v>73</v>
      </c>
      <c r="T5" t="s">
        <v>178</v>
      </c>
      <c r="U5" t="s">
        <v>102</v>
      </c>
      <c r="W5" t="b">
        <v>0</v>
      </c>
      <c r="X5" t="s">
        <v>72</v>
      </c>
      <c r="AA5" t="s">
        <v>32</v>
      </c>
      <c r="AB5" t="s">
        <v>995</v>
      </c>
      <c r="AI5" t="s">
        <v>996</v>
      </c>
      <c r="AJ5" t="s">
        <v>270</v>
      </c>
      <c r="AM5">
        <v>409</v>
      </c>
      <c r="AN5">
        <v>45860.558634259258</v>
      </c>
      <c r="AO5">
        <v>45860.5153125</v>
      </c>
      <c r="AP5">
        <v>10</v>
      </c>
      <c r="AQ5">
        <v>10</v>
      </c>
      <c r="AR5" t="s">
        <v>21</v>
      </c>
      <c r="AS5" t="b">
        <v>0</v>
      </c>
      <c r="AT5" t="s">
        <v>997</v>
      </c>
    </row>
    <row r="6" spans="1:46" x14ac:dyDescent="0.3">
      <c r="A6">
        <v>0</v>
      </c>
      <c r="B6">
        <v>410</v>
      </c>
      <c r="D6" t="s">
        <v>19</v>
      </c>
      <c r="E6" t="s">
        <v>311</v>
      </c>
      <c r="F6" t="s">
        <v>71</v>
      </c>
      <c r="G6" t="s">
        <v>934</v>
      </c>
      <c r="H6" t="b">
        <v>1</v>
      </c>
      <c r="I6" t="s">
        <v>867</v>
      </c>
      <c r="L6">
        <v>46223.920138888891</v>
      </c>
      <c r="M6">
        <v>46223.940972222219</v>
      </c>
      <c r="N6" t="s">
        <v>20</v>
      </c>
      <c r="O6" t="s">
        <v>20</v>
      </c>
      <c r="P6" t="s">
        <v>20</v>
      </c>
      <c r="Q6" t="s">
        <v>20</v>
      </c>
      <c r="S6" t="s">
        <v>73</v>
      </c>
      <c r="T6" t="s">
        <v>178</v>
      </c>
      <c r="U6" t="s">
        <v>733</v>
      </c>
      <c r="W6" t="b">
        <v>0</v>
      </c>
      <c r="X6" t="s">
        <v>159</v>
      </c>
      <c r="AA6" t="s">
        <v>32</v>
      </c>
      <c r="AB6" t="s">
        <v>992</v>
      </c>
      <c r="AI6" t="s">
        <v>998</v>
      </c>
      <c r="AJ6" t="s">
        <v>270</v>
      </c>
      <c r="AM6">
        <v>410</v>
      </c>
      <c r="AN6">
        <v>45860.538761574076</v>
      </c>
      <c r="AO6">
        <v>45860.538761574076</v>
      </c>
      <c r="AP6">
        <v>10</v>
      </c>
      <c r="AQ6">
        <v>10</v>
      </c>
      <c r="AR6" t="s">
        <v>21</v>
      </c>
      <c r="AS6" t="b">
        <v>0</v>
      </c>
      <c r="AT6" t="s">
        <v>999</v>
      </c>
    </row>
    <row r="7" spans="1:46" x14ac:dyDescent="0.3">
      <c r="A7">
        <v>0</v>
      </c>
      <c r="B7">
        <v>411</v>
      </c>
      <c r="D7" t="s">
        <v>19</v>
      </c>
      <c r="E7" t="s">
        <v>985</v>
      </c>
      <c r="F7" t="s">
        <v>77</v>
      </c>
      <c r="G7" t="s">
        <v>228</v>
      </c>
      <c r="H7" t="b">
        <v>1</v>
      </c>
      <c r="I7" t="s">
        <v>869</v>
      </c>
      <c r="L7">
        <v>46042.961805555555</v>
      </c>
      <c r="M7">
        <v>46042.982638888891</v>
      </c>
      <c r="N7" t="s">
        <v>20</v>
      </c>
      <c r="O7" t="s">
        <v>20</v>
      </c>
      <c r="P7" t="s">
        <v>20</v>
      </c>
      <c r="Q7" t="s">
        <v>20</v>
      </c>
      <c r="S7" t="s">
        <v>73</v>
      </c>
      <c r="T7" t="s">
        <v>178</v>
      </c>
      <c r="U7" t="s">
        <v>14</v>
      </c>
      <c r="W7" t="b">
        <v>0</v>
      </c>
      <c r="X7" t="s">
        <v>72</v>
      </c>
      <c r="AA7" t="s">
        <v>32</v>
      </c>
      <c r="AB7" t="s">
        <v>1000</v>
      </c>
      <c r="AI7" t="s">
        <v>1001</v>
      </c>
      <c r="AJ7" t="s">
        <v>270</v>
      </c>
      <c r="AM7">
        <v>411</v>
      </c>
      <c r="AN7">
        <v>45860.559942129628</v>
      </c>
      <c r="AO7">
        <v>45860.55945601852</v>
      </c>
      <c r="AP7">
        <v>10</v>
      </c>
      <c r="AQ7">
        <v>10</v>
      </c>
      <c r="AR7" t="s">
        <v>21</v>
      </c>
      <c r="AS7" t="b">
        <v>0</v>
      </c>
      <c r="AT7" t="s">
        <v>1002</v>
      </c>
    </row>
    <row r="8" spans="1:46" x14ac:dyDescent="0.3">
      <c r="A8">
        <v>0</v>
      </c>
      <c r="B8">
        <v>412</v>
      </c>
      <c r="D8" t="s">
        <v>19</v>
      </c>
      <c r="E8" t="s">
        <v>1003</v>
      </c>
      <c r="F8" t="s">
        <v>77</v>
      </c>
      <c r="G8" t="s">
        <v>153</v>
      </c>
      <c r="H8" t="b">
        <v>1</v>
      </c>
      <c r="I8" t="s">
        <v>319</v>
      </c>
      <c r="L8">
        <v>46222.920138888891</v>
      </c>
      <c r="M8">
        <v>46222.940972222219</v>
      </c>
      <c r="N8" t="s">
        <v>20</v>
      </c>
      <c r="O8" t="s">
        <v>20</v>
      </c>
      <c r="P8" t="s">
        <v>20</v>
      </c>
      <c r="Q8" t="s">
        <v>20</v>
      </c>
      <c r="S8" t="s">
        <v>73</v>
      </c>
      <c r="T8" t="s">
        <v>173</v>
      </c>
      <c r="U8" t="s">
        <v>14</v>
      </c>
      <c r="W8" t="b">
        <v>0</v>
      </c>
      <c r="X8" t="s">
        <v>159</v>
      </c>
      <c r="AA8" t="s">
        <v>32</v>
      </c>
      <c r="AB8" t="s">
        <v>1004</v>
      </c>
      <c r="AI8" t="s">
        <v>1005</v>
      </c>
      <c r="AJ8" t="s">
        <v>270</v>
      </c>
      <c r="AM8">
        <v>412</v>
      </c>
      <c r="AN8">
        <v>45860.560497685183</v>
      </c>
      <c r="AO8">
        <v>45860.560497685183</v>
      </c>
      <c r="AP8">
        <v>10</v>
      </c>
      <c r="AQ8">
        <v>10</v>
      </c>
      <c r="AR8" t="s">
        <v>21</v>
      </c>
      <c r="AS8" t="b">
        <v>0</v>
      </c>
      <c r="AT8" t="s">
        <v>1006</v>
      </c>
    </row>
    <row r="9" spans="1:46" x14ac:dyDescent="0.3">
      <c r="A9">
        <v>0</v>
      </c>
      <c r="B9">
        <v>413</v>
      </c>
      <c r="D9" t="s">
        <v>19</v>
      </c>
      <c r="E9" t="s">
        <v>1007</v>
      </c>
      <c r="F9" t="s">
        <v>171</v>
      </c>
      <c r="G9" t="s">
        <v>172</v>
      </c>
      <c r="H9" t="b">
        <v>1</v>
      </c>
      <c r="I9" t="s">
        <v>869</v>
      </c>
      <c r="J9" t="s">
        <v>314</v>
      </c>
      <c r="L9">
        <v>45904.458333333336</v>
      </c>
      <c r="M9">
        <v>45904.5</v>
      </c>
      <c r="N9" t="s">
        <v>20</v>
      </c>
      <c r="O9" t="s">
        <v>20</v>
      </c>
      <c r="P9" t="s">
        <v>20</v>
      </c>
      <c r="Q9" t="s">
        <v>20</v>
      </c>
      <c r="R9" t="s">
        <v>986</v>
      </c>
      <c r="S9" t="s">
        <v>1068</v>
      </c>
      <c r="T9" t="s">
        <v>178</v>
      </c>
      <c r="U9" t="s">
        <v>733</v>
      </c>
      <c r="W9" t="b">
        <v>0</v>
      </c>
      <c r="X9" t="s">
        <v>159</v>
      </c>
      <c r="AA9" t="s">
        <v>32</v>
      </c>
      <c r="AB9" t="s">
        <v>992</v>
      </c>
      <c r="AH9" t="s">
        <v>794</v>
      </c>
      <c r="AI9" t="s">
        <v>1069</v>
      </c>
      <c r="AJ9" t="s">
        <v>270</v>
      </c>
      <c r="AM9">
        <v>413</v>
      </c>
      <c r="AN9">
        <v>45905.407280092593</v>
      </c>
      <c r="AO9">
        <v>45860.578796296293</v>
      </c>
      <c r="AP9">
        <v>10</v>
      </c>
      <c r="AQ9">
        <v>10</v>
      </c>
      <c r="AR9" t="s">
        <v>21</v>
      </c>
      <c r="AS9" t="b">
        <v>0</v>
      </c>
      <c r="AT9" t="s">
        <v>1008</v>
      </c>
    </row>
    <row r="10" spans="1:46" x14ac:dyDescent="0.3">
      <c r="A10">
        <v>0</v>
      </c>
      <c r="B10">
        <v>414</v>
      </c>
      <c r="D10" t="s">
        <v>19</v>
      </c>
      <c r="E10" t="s">
        <v>1009</v>
      </c>
      <c r="F10" t="s">
        <v>158</v>
      </c>
      <c r="G10" t="s">
        <v>157</v>
      </c>
      <c r="H10" t="b">
        <v>1</v>
      </c>
      <c r="I10" t="s">
        <v>713</v>
      </c>
      <c r="J10" t="s">
        <v>1010</v>
      </c>
      <c r="L10">
        <v>45861.375</v>
      </c>
      <c r="M10">
        <v>45861.458333333336</v>
      </c>
      <c r="N10" t="s">
        <v>20</v>
      </c>
      <c r="O10" t="s">
        <v>20</v>
      </c>
      <c r="P10" t="s">
        <v>20</v>
      </c>
      <c r="Q10" t="s">
        <v>20</v>
      </c>
      <c r="R10" t="s">
        <v>17</v>
      </c>
      <c r="S10" t="s">
        <v>1011</v>
      </c>
      <c r="T10" t="s">
        <v>146</v>
      </c>
      <c r="U10" t="s">
        <v>14</v>
      </c>
      <c r="W10" t="b">
        <v>0</v>
      </c>
      <c r="X10" t="s">
        <v>72</v>
      </c>
      <c r="AA10" t="s">
        <v>32</v>
      </c>
      <c r="AB10" t="s">
        <v>992</v>
      </c>
      <c r="AC10" t="s">
        <v>982</v>
      </c>
      <c r="AD10" t="s">
        <v>964</v>
      </c>
      <c r="AE10" t="s">
        <v>964</v>
      </c>
      <c r="AH10" t="s">
        <v>576</v>
      </c>
      <c r="AI10" t="s">
        <v>964</v>
      </c>
      <c r="AJ10" t="s">
        <v>270</v>
      </c>
      <c r="AM10">
        <v>414</v>
      </c>
      <c r="AN10">
        <v>45861.477534722224</v>
      </c>
      <c r="AO10">
        <v>45860.728310185186</v>
      </c>
      <c r="AP10">
        <v>10</v>
      </c>
      <c r="AQ10">
        <v>10</v>
      </c>
      <c r="AR10" t="s">
        <v>21</v>
      </c>
      <c r="AS10" t="b">
        <v>0</v>
      </c>
      <c r="AT10" t="s">
        <v>1012</v>
      </c>
    </row>
    <row r="11" spans="1:46" x14ac:dyDescent="0.3">
      <c r="A11">
        <v>0</v>
      </c>
      <c r="B11">
        <v>417</v>
      </c>
      <c r="D11" t="s">
        <v>19</v>
      </c>
      <c r="E11" t="s">
        <v>820</v>
      </c>
      <c r="F11" t="s">
        <v>301</v>
      </c>
      <c r="G11" t="s">
        <v>710</v>
      </c>
      <c r="H11" t="b">
        <v>0</v>
      </c>
      <c r="I11" t="s">
        <v>869</v>
      </c>
      <c r="K11" t="s">
        <v>1013</v>
      </c>
      <c r="L11">
        <v>45905.5</v>
      </c>
      <c r="M11">
        <v>45905.541666666664</v>
      </c>
      <c r="N11" t="s">
        <v>20</v>
      </c>
      <c r="O11" t="s">
        <v>20</v>
      </c>
      <c r="P11" t="s">
        <v>20</v>
      </c>
      <c r="Q11" t="s">
        <v>20</v>
      </c>
      <c r="R11" t="s">
        <v>986</v>
      </c>
      <c r="S11" t="s">
        <v>1070</v>
      </c>
      <c r="T11" t="s">
        <v>178</v>
      </c>
      <c r="U11" t="s">
        <v>123</v>
      </c>
      <c r="W11" t="b">
        <v>0</v>
      </c>
      <c r="X11" t="s">
        <v>269</v>
      </c>
      <c r="AA11" t="s">
        <v>32</v>
      </c>
      <c r="AB11" t="s">
        <v>981</v>
      </c>
      <c r="AC11" t="s">
        <v>982</v>
      </c>
      <c r="AD11" t="s">
        <v>1066</v>
      </c>
      <c r="AE11" t="s">
        <v>1066</v>
      </c>
      <c r="AI11" t="s">
        <v>1066</v>
      </c>
      <c r="AJ11" t="s">
        <v>270</v>
      </c>
      <c r="AM11">
        <v>417</v>
      </c>
      <c r="AN11">
        <v>45905.631192129629</v>
      </c>
      <c r="AO11">
        <v>45861.320555555554</v>
      </c>
      <c r="AP11">
        <v>10</v>
      </c>
      <c r="AQ11">
        <v>10</v>
      </c>
      <c r="AR11" t="s">
        <v>21</v>
      </c>
      <c r="AS11" t="b">
        <v>0</v>
      </c>
      <c r="AT11" t="s">
        <v>1014</v>
      </c>
    </row>
    <row r="12" spans="1:46" x14ac:dyDescent="0.3">
      <c r="A12">
        <v>0</v>
      </c>
      <c r="B12">
        <v>419</v>
      </c>
      <c r="D12" t="s">
        <v>19</v>
      </c>
      <c r="E12" t="s">
        <v>868</v>
      </c>
      <c r="F12" t="s">
        <v>71</v>
      </c>
      <c r="G12" t="s">
        <v>34</v>
      </c>
      <c r="H12" t="b">
        <v>1</v>
      </c>
      <c r="I12" t="s">
        <v>713</v>
      </c>
      <c r="L12">
        <v>45862.458333333336</v>
      </c>
      <c r="M12">
        <v>45862.479166666664</v>
      </c>
      <c r="N12" t="s">
        <v>20</v>
      </c>
      <c r="O12" t="s">
        <v>20</v>
      </c>
      <c r="P12" t="s">
        <v>20</v>
      </c>
      <c r="Q12" t="s">
        <v>20</v>
      </c>
      <c r="R12" t="s">
        <v>17</v>
      </c>
      <c r="S12" t="s">
        <v>1015</v>
      </c>
      <c r="T12" t="s">
        <v>146</v>
      </c>
      <c r="U12" t="s">
        <v>14</v>
      </c>
      <c r="W12" t="b">
        <v>0</v>
      </c>
      <c r="X12" t="s">
        <v>72</v>
      </c>
      <c r="AA12" t="s">
        <v>32</v>
      </c>
      <c r="AB12" t="s">
        <v>1016</v>
      </c>
      <c r="AC12" t="s">
        <v>982</v>
      </c>
      <c r="AD12" t="s">
        <v>1017</v>
      </c>
      <c r="AE12" t="s">
        <v>968</v>
      </c>
      <c r="AI12" t="s">
        <v>968</v>
      </c>
      <c r="AJ12" t="s">
        <v>270</v>
      </c>
      <c r="AM12">
        <v>419</v>
      </c>
      <c r="AN12">
        <v>45870.32203703704</v>
      </c>
      <c r="AO12">
        <v>45861.478171296294</v>
      </c>
      <c r="AP12">
        <v>10</v>
      </c>
      <c r="AQ12">
        <v>10</v>
      </c>
      <c r="AR12" t="s">
        <v>21</v>
      </c>
      <c r="AS12" t="b">
        <v>0</v>
      </c>
      <c r="AT12" t="s">
        <v>1018</v>
      </c>
    </row>
    <row r="13" spans="1:46" x14ac:dyDescent="0.3">
      <c r="A13">
        <v>0</v>
      </c>
      <c r="B13">
        <v>421</v>
      </c>
      <c r="D13" t="s">
        <v>19</v>
      </c>
      <c r="E13" t="s">
        <v>313</v>
      </c>
      <c r="F13" t="s">
        <v>71</v>
      </c>
      <c r="G13" t="s">
        <v>34</v>
      </c>
      <c r="H13" t="b">
        <v>1</v>
      </c>
      <c r="I13" t="s">
        <v>869</v>
      </c>
      <c r="L13">
        <v>46223.920138888891</v>
      </c>
      <c r="M13">
        <v>46223.940972222219</v>
      </c>
      <c r="N13" t="s">
        <v>20</v>
      </c>
      <c r="O13" t="s">
        <v>20</v>
      </c>
      <c r="P13" t="s">
        <v>20</v>
      </c>
      <c r="Q13" t="s">
        <v>20</v>
      </c>
      <c r="S13" t="s">
        <v>73</v>
      </c>
      <c r="T13" t="s">
        <v>178</v>
      </c>
      <c r="U13" t="s">
        <v>745</v>
      </c>
      <c r="W13" t="b">
        <v>0</v>
      </c>
      <c r="X13" t="s">
        <v>72</v>
      </c>
      <c r="AA13" t="s">
        <v>32</v>
      </c>
      <c r="AB13" t="s">
        <v>1019</v>
      </c>
      <c r="AI13" t="s">
        <v>1020</v>
      </c>
      <c r="AJ13" t="s">
        <v>270</v>
      </c>
      <c r="AM13">
        <v>421</v>
      </c>
      <c r="AN13">
        <v>45861.505706018521</v>
      </c>
      <c r="AO13">
        <v>45861.505706018521</v>
      </c>
      <c r="AP13">
        <v>10</v>
      </c>
      <c r="AQ13">
        <v>10</v>
      </c>
      <c r="AR13" t="s">
        <v>21</v>
      </c>
      <c r="AS13" t="b">
        <v>0</v>
      </c>
      <c r="AT13" t="s">
        <v>1021</v>
      </c>
    </row>
    <row r="14" spans="1:46" x14ac:dyDescent="0.3">
      <c r="A14">
        <v>0</v>
      </c>
      <c r="B14">
        <v>422</v>
      </c>
      <c r="D14" t="s">
        <v>19</v>
      </c>
      <c r="E14" t="s">
        <v>806</v>
      </c>
      <c r="F14" t="s">
        <v>71</v>
      </c>
      <c r="G14" t="s">
        <v>101</v>
      </c>
      <c r="H14" t="b">
        <v>0</v>
      </c>
      <c r="I14" t="s">
        <v>1022</v>
      </c>
      <c r="K14" t="s">
        <v>1023</v>
      </c>
      <c r="L14">
        <v>45908.333333333336</v>
      </c>
      <c r="M14">
        <v>45908.354166666664</v>
      </c>
      <c r="N14" t="s">
        <v>20</v>
      </c>
      <c r="O14" t="s">
        <v>20</v>
      </c>
      <c r="P14" t="s">
        <v>20</v>
      </c>
      <c r="Q14" t="s">
        <v>20</v>
      </c>
      <c r="R14" t="s">
        <v>986</v>
      </c>
      <c r="S14" t="s">
        <v>1071</v>
      </c>
      <c r="T14" t="s">
        <v>98</v>
      </c>
      <c r="U14" t="s">
        <v>689</v>
      </c>
      <c r="W14" t="b">
        <v>0</v>
      </c>
      <c r="X14" t="s">
        <v>165</v>
      </c>
      <c r="Y14" t="s">
        <v>1022</v>
      </c>
      <c r="AA14" t="s">
        <v>32</v>
      </c>
      <c r="AB14" t="s">
        <v>1024</v>
      </c>
      <c r="AF14" t="s">
        <v>1025</v>
      </c>
      <c r="AG14">
        <v>45867.916666666664</v>
      </c>
      <c r="AH14" t="s">
        <v>853</v>
      </c>
      <c r="AI14" t="s">
        <v>1072</v>
      </c>
      <c r="AJ14" t="s">
        <v>270</v>
      </c>
      <c r="AM14">
        <v>422</v>
      </c>
      <c r="AN14">
        <v>45905.404791666668</v>
      </c>
      <c r="AO14">
        <v>45861.506053240744</v>
      </c>
      <c r="AP14">
        <v>10</v>
      </c>
      <c r="AQ14">
        <v>10</v>
      </c>
      <c r="AR14" t="s">
        <v>21</v>
      </c>
      <c r="AS14" t="b">
        <v>1</v>
      </c>
      <c r="AT14" t="s">
        <v>1026</v>
      </c>
    </row>
    <row r="15" spans="1:46" x14ac:dyDescent="0.3">
      <c r="A15">
        <v>0</v>
      </c>
      <c r="B15">
        <v>425</v>
      </c>
      <c r="D15" t="s">
        <v>19</v>
      </c>
      <c r="E15" t="s">
        <v>1027</v>
      </c>
      <c r="F15" t="s">
        <v>187</v>
      </c>
      <c r="G15" t="s">
        <v>186</v>
      </c>
      <c r="H15" t="b">
        <v>1</v>
      </c>
      <c r="I15" t="s">
        <v>1028</v>
      </c>
      <c r="J15" t="s">
        <v>1029</v>
      </c>
      <c r="L15">
        <v>45862.291666666664</v>
      </c>
      <c r="M15">
        <v>45862.3125</v>
      </c>
      <c r="N15" t="s">
        <v>20</v>
      </c>
      <c r="O15" t="s">
        <v>20</v>
      </c>
      <c r="P15" t="s">
        <v>20</v>
      </c>
      <c r="Q15" t="s">
        <v>20</v>
      </c>
      <c r="R15" t="s">
        <v>17</v>
      </c>
      <c r="S15" t="s">
        <v>1030</v>
      </c>
      <c r="T15" t="s">
        <v>175</v>
      </c>
      <c r="U15" t="s">
        <v>14</v>
      </c>
      <c r="W15" t="b">
        <v>0</v>
      </c>
      <c r="X15" t="s">
        <v>177</v>
      </c>
      <c r="AA15" t="s">
        <v>32</v>
      </c>
      <c r="AB15" t="s">
        <v>1031</v>
      </c>
      <c r="AC15" t="s">
        <v>982</v>
      </c>
      <c r="AD15" t="s">
        <v>953</v>
      </c>
      <c r="AE15" t="s">
        <v>953</v>
      </c>
      <c r="AH15" t="s">
        <v>954</v>
      </c>
      <c r="AI15" t="s">
        <v>953</v>
      </c>
      <c r="AJ15" t="s">
        <v>270</v>
      </c>
      <c r="AM15">
        <v>425</v>
      </c>
      <c r="AN15">
        <v>45867.593969907408</v>
      </c>
      <c r="AO15">
        <v>45861.510231481479</v>
      </c>
      <c r="AP15">
        <v>10</v>
      </c>
      <c r="AQ15">
        <v>10</v>
      </c>
      <c r="AR15" t="s">
        <v>21</v>
      </c>
      <c r="AS15" t="b">
        <v>0</v>
      </c>
      <c r="AT15" t="s">
        <v>1032</v>
      </c>
    </row>
    <row r="16" spans="1:46" x14ac:dyDescent="0.3">
      <c r="A16">
        <v>0</v>
      </c>
      <c r="B16">
        <v>426</v>
      </c>
      <c r="D16" t="s">
        <v>19</v>
      </c>
      <c r="E16" t="s">
        <v>868</v>
      </c>
      <c r="F16" t="s">
        <v>71</v>
      </c>
      <c r="G16" t="s">
        <v>107</v>
      </c>
      <c r="H16" t="b">
        <v>1</v>
      </c>
      <c r="I16" t="s">
        <v>1028</v>
      </c>
      <c r="J16" t="s">
        <v>1029</v>
      </c>
      <c r="L16">
        <v>45862.291666666664</v>
      </c>
      <c r="M16">
        <v>45862.3125</v>
      </c>
      <c r="N16" t="s">
        <v>20</v>
      </c>
      <c r="O16" t="s">
        <v>20</v>
      </c>
      <c r="P16" t="s">
        <v>20</v>
      </c>
      <c r="Q16" t="s">
        <v>20</v>
      </c>
      <c r="R16" t="s">
        <v>17</v>
      </c>
      <c r="S16" t="s">
        <v>1033</v>
      </c>
      <c r="T16" t="s">
        <v>175</v>
      </c>
      <c r="U16" t="s">
        <v>14</v>
      </c>
      <c r="W16" t="b">
        <v>0</v>
      </c>
      <c r="X16" t="s">
        <v>177</v>
      </c>
      <c r="AA16" t="s">
        <v>32</v>
      </c>
      <c r="AB16" t="s">
        <v>1031</v>
      </c>
      <c r="AC16" t="s">
        <v>982</v>
      </c>
      <c r="AD16" t="s">
        <v>967</v>
      </c>
      <c r="AE16" t="s">
        <v>967</v>
      </c>
      <c r="AH16" t="s">
        <v>954</v>
      </c>
      <c r="AI16" t="s">
        <v>967</v>
      </c>
      <c r="AJ16" t="s">
        <v>270</v>
      </c>
      <c r="AM16">
        <v>426</v>
      </c>
      <c r="AN16">
        <v>45867.593969907408</v>
      </c>
      <c r="AO16">
        <v>45861.510995370372</v>
      </c>
      <c r="AP16">
        <v>10</v>
      </c>
      <c r="AQ16">
        <v>10</v>
      </c>
      <c r="AR16" t="s">
        <v>21</v>
      </c>
      <c r="AS16" t="b">
        <v>0</v>
      </c>
      <c r="AT16" t="s">
        <v>1034</v>
      </c>
    </row>
    <row r="17" spans="1:46" x14ac:dyDescent="0.3">
      <c r="A17">
        <v>0</v>
      </c>
      <c r="B17">
        <v>427</v>
      </c>
      <c r="D17" t="s">
        <v>19</v>
      </c>
      <c r="E17" t="s">
        <v>985</v>
      </c>
      <c r="F17" t="s">
        <v>77</v>
      </c>
      <c r="G17" t="s">
        <v>228</v>
      </c>
      <c r="H17" t="b">
        <v>1</v>
      </c>
      <c r="I17" t="s">
        <v>1028</v>
      </c>
      <c r="J17" t="s">
        <v>1029</v>
      </c>
      <c r="L17">
        <v>45862.3125</v>
      </c>
      <c r="M17">
        <v>45862.333333333336</v>
      </c>
      <c r="N17" t="s">
        <v>20</v>
      </c>
      <c r="O17" t="s">
        <v>20</v>
      </c>
      <c r="P17" t="s">
        <v>20</v>
      </c>
      <c r="Q17" t="s">
        <v>20</v>
      </c>
      <c r="R17" t="s">
        <v>17</v>
      </c>
      <c r="S17" t="s">
        <v>1035</v>
      </c>
      <c r="T17" t="s">
        <v>175</v>
      </c>
      <c r="U17" t="s">
        <v>123</v>
      </c>
      <c r="W17" t="b">
        <v>0</v>
      </c>
      <c r="X17" t="s">
        <v>72</v>
      </c>
      <c r="AA17" t="s">
        <v>32</v>
      </c>
      <c r="AB17" t="s">
        <v>1036</v>
      </c>
      <c r="AC17" t="s">
        <v>982</v>
      </c>
      <c r="AD17" t="s">
        <v>972</v>
      </c>
      <c r="AE17" t="s">
        <v>972</v>
      </c>
      <c r="AH17" t="s">
        <v>954</v>
      </c>
      <c r="AI17" t="s">
        <v>972</v>
      </c>
      <c r="AJ17" t="s">
        <v>270</v>
      </c>
      <c r="AM17">
        <v>427</v>
      </c>
      <c r="AN17">
        <v>45867.593969907408</v>
      </c>
      <c r="AO17">
        <v>45861.511574074073</v>
      </c>
      <c r="AP17">
        <v>10</v>
      </c>
      <c r="AQ17">
        <v>10</v>
      </c>
      <c r="AR17" t="s">
        <v>21</v>
      </c>
      <c r="AS17" t="b">
        <v>0</v>
      </c>
      <c r="AT17" t="s">
        <v>1037</v>
      </c>
    </row>
    <row r="18" spans="1:46" x14ac:dyDescent="0.3">
      <c r="A18">
        <v>0</v>
      </c>
      <c r="B18">
        <v>428</v>
      </c>
      <c r="D18" t="s">
        <v>19</v>
      </c>
      <c r="E18" t="s">
        <v>313</v>
      </c>
      <c r="F18" t="s">
        <v>71</v>
      </c>
      <c r="G18" t="s">
        <v>34</v>
      </c>
      <c r="H18" t="b">
        <v>1</v>
      </c>
      <c r="I18" t="s">
        <v>1038</v>
      </c>
      <c r="L18">
        <v>46075.961805555555</v>
      </c>
      <c r="M18">
        <v>46075.982638888891</v>
      </c>
      <c r="N18" t="s">
        <v>20</v>
      </c>
      <c r="O18" t="s">
        <v>20</v>
      </c>
      <c r="P18" t="s">
        <v>20</v>
      </c>
      <c r="Q18" t="s">
        <v>20</v>
      </c>
      <c r="S18" t="s">
        <v>73</v>
      </c>
      <c r="T18" t="s">
        <v>189</v>
      </c>
      <c r="U18" t="s">
        <v>178</v>
      </c>
      <c r="W18" t="b">
        <v>0</v>
      </c>
      <c r="X18" t="s">
        <v>72</v>
      </c>
      <c r="AA18" t="s">
        <v>32</v>
      </c>
      <c r="AB18" t="s">
        <v>1039</v>
      </c>
      <c r="AI18" t="s">
        <v>866</v>
      </c>
      <c r="AJ18" t="s">
        <v>270</v>
      </c>
      <c r="AM18">
        <v>428</v>
      </c>
      <c r="AN18">
        <v>45861.511967592596</v>
      </c>
      <c r="AO18">
        <v>45861.511967592596</v>
      </c>
      <c r="AP18">
        <v>10</v>
      </c>
      <c r="AQ18">
        <v>10</v>
      </c>
      <c r="AR18" t="s">
        <v>21</v>
      </c>
      <c r="AS18" t="b">
        <v>0</v>
      </c>
      <c r="AT18" t="s">
        <v>1040</v>
      </c>
    </row>
    <row r="19" spans="1:46" x14ac:dyDescent="0.3">
      <c r="A19">
        <v>0</v>
      </c>
      <c r="B19">
        <v>429</v>
      </c>
      <c r="D19" t="s">
        <v>19</v>
      </c>
      <c r="E19" t="s">
        <v>311</v>
      </c>
      <c r="F19" t="s">
        <v>71</v>
      </c>
      <c r="G19" t="s">
        <v>83</v>
      </c>
      <c r="H19" t="b">
        <v>1</v>
      </c>
      <c r="I19" t="s">
        <v>713</v>
      </c>
      <c r="L19">
        <v>46153.920138888891</v>
      </c>
      <c r="M19">
        <v>46153.940972222219</v>
      </c>
      <c r="N19" t="s">
        <v>20</v>
      </c>
      <c r="O19" t="s">
        <v>20</v>
      </c>
      <c r="P19" t="s">
        <v>20</v>
      </c>
      <c r="Q19" t="s">
        <v>20</v>
      </c>
      <c r="S19" t="s">
        <v>73</v>
      </c>
      <c r="T19" t="s">
        <v>316</v>
      </c>
      <c r="U19" t="s">
        <v>317</v>
      </c>
      <c r="W19" t="b">
        <v>0</v>
      </c>
      <c r="X19" t="s">
        <v>159</v>
      </c>
      <c r="AA19" t="s">
        <v>32</v>
      </c>
      <c r="AB19" t="s">
        <v>1041</v>
      </c>
      <c r="AI19" t="s">
        <v>1042</v>
      </c>
      <c r="AJ19" t="s">
        <v>270</v>
      </c>
      <c r="AM19">
        <v>429</v>
      </c>
      <c r="AN19">
        <v>45861.512129629627</v>
      </c>
      <c r="AO19">
        <v>45861.512129629627</v>
      </c>
      <c r="AP19">
        <v>10</v>
      </c>
      <c r="AQ19">
        <v>10</v>
      </c>
      <c r="AR19" t="s">
        <v>21</v>
      </c>
      <c r="AS19" t="b">
        <v>0</v>
      </c>
      <c r="AT19" t="s">
        <v>1043</v>
      </c>
    </row>
    <row r="20" spans="1:46" x14ac:dyDescent="0.3">
      <c r="A20">
        <v>0</v>
      </c>
      <c r="B20">
        <v>430</v>
      </c>
      <c r="D20" t="s">
        <v>19</v>
      </c>
      <c r="E20" t="s">
        <v>311</v>
      </c>
      <c r="F20" t="s">
        <v>71</v>
      </c>
      <c r="G20" t="s">
        <v>83</v>
      </c>
      <c r="H20" t="b">
        <v>1</v>
      </c>
      <c r="I20" t="s">
        <v>713</v>
      </c>
      <c r="L20">
        <v>46174.920138888891</v>
      </c>
      <c r="M20">
        <v>46174.940972222219</v>
      </c>
      <c r="N20" t="s">
        <v>20</v>
      </c>
      <c r="O20" t="s">
        <v>20</v>
      </c>
      <c r="P20" t="s">
        <v>20</v>
      </c>
      <c r="Q20" t="s">
        <v>20</v>
      </c>
      <c r="S20" t="s">
        <v>73</v>
      </c>
      <c r="T20" t="s">
        <v>307</v>
      </c>
      <c r="U20" t="s">
        <v>309</v>
      </c>
      <c r="W20" t="b">
        <v>0</v>
      </c>
      <c r="X20" t="s">
        <v>159</v>
      </c>
      <c r="AA20" t="s">
        <v>32</v>
      </c>
      <c r="AB20" t="s">
        <v>1044</v>
      </c>
      <c r="AI20" t="s">
        <v>1045</v>
      </c>
      <c r="AJ20" t="s">
        <v>270</v>
      </c>
      <c r="AM20">
        <v>430</v>
      </c>
      <c r="AN20">
        <v>45861.512326388889</v>
      </c>
      <c r="AO20">
        <v>45861.512326388889</v>
      </c>
      <c r="AP20">
        <v>10</v>
      </c>
      <c r="AQ20">
        <v>10</v>
      </c>
      <c r="AR20" t="s">
        <v>21</v>
      </c>
      <c r="AS20" t="b">
        <v>0</v>
      </c>
      <c r="AT20" t="s">
        <v>1046</v>
      </c>
    </row>
    <row r="21" spans="1:46" x14ac:dyDescent="0.3">
      <c r="A21">
        <v>0</v>
      </c>
      <c r="B21">
        <v>431</v>
      </c>
      <c r="D21" t="s">
        <v>19</v>
      </c>
      <c r="E21" t="s">
        <v>978</v>
      </c>
      <c r="F21" t="s">
        <v>301</v>
      </c>
      <c r="G21" t="s">
        <v>710</v>
      </c>
      <c r="H21" t="b">
        <v>1</v>
      </c>
      <c r="I21" t="s">
        <v>713</v>
      </c>
      <c r="L21">
        <v>45876.5</v>
      </c>
      <c r="M21">
        <v>45876.541666666664</v>
      </c>
      <c r="N21" t="s">
        <v>20</v>
      </c>
      <c r="O21" t="s">
        <v>20</v>
      </c>
      <c r="P21" t="s">
        <v>20</v>
      </c>
      <c r="Q21" t="s">
        <v>20</v>
      </c>
      <c r="R21" t="s">
        <v>986</v>
      </c>
      <c r="S21" t="s">
        <v>1047</v>
      </c>
      <c r="T21" t="s">
        <v>700</v>
      </c>
      <c r="U21" t="s">
        <v>702</v>
      </c>
      <c r="W21" t="b">
        <v>0</v>
      </c>
      <c r="X21" t="s">
        <v>269</v>
      </c>
      <c r="AA21" t="s">
        <v>32</v>
      </c>
      <c r="AB21" t="s">
        <v>1048</v>
      </c>
      <c r="AC21" t="s">
        <v>982</v>
      </c>
      <c r="AD21" t="s">
        <v>1049</v>
      </c>
      <c r="AE21" t="s">
        <v>1049</v>
      </c>
      <c r="AI21" t="s">
        <v>1049</v>
      </c>
      <c r="AJ21" t="s">
        <v>270</v>
      </c>
      <c r="AM21">
        <v>431</v>
      </c>
      <c r="AN21">
        <v>45882.328067129631</v>
      </c>
      <c r="AO21">
        <v>45861.512546296297</v>
      </c>
      <c r="AP21">
        <v>10</v>
      </c>
      <c r="AQ21">
        <v>10</v>
      </c>
      <c r="AR21" t="s">
        <v>21</v>
      </c>
      <c r="AS21" t="b">
        <v>0</v>
      </c>
      <c r="AT21" t="s">
        <v>1050</v>
      </c>
    </row>
    <row r="22" spans="1:46" x14ac:dyDescent="0.3">
      <c r="A22">
        <v>0</v>
      </c>
      <c r="B22">
        <v>432</v>
      </c>
      <c r="D22" t="s">
        <v>19</v>
      </c>
      <c r="E22" t="s">
        <v>1051</v>
      </c>
      <c r="F22" t="s">
        <v>71</v>
      </c>
      <c r="G22" t="s">
        <v>107</v>
      </c>
      <c r="H22" t="b">
        <v>1</v>
      </c>
      <c r="I22" t="s">
        <v>312</v>
      </c>
      <c r="L22">
        <v>46593.920138888891</v>
      </c>
      <c r="M22">
        <v>46593.940972222219</v>
      </c>
      <c r="N22" t="s">
        <v>20</v>
      </c>
      <c r="O22" t="s">
        <v>20</v>
      </c>
      <c r="P22" t="s">
        <v>20</v>
      </c>
      <c r="Q22" t="s">
        <v>20</v>
      </c>
      <c r="S22" t="s">
        <v>73</v>
      </c>
      <c r="T22" t="s">
        <v>175</v>
      </c>
      <c r="U22" t="s">
        <v>14</v>
      </c>
      <c r="W22" t="b">
        <v>0</v>
      </c>
      <c r="X22" t="s">
        <v>177</v>
      </c>
      <c r="AA22" t="s">
        <v>32</v>
      </c>
      <c r="AB22" t="s">
        <v>1031</v>
      </c>
      <c r="AI22" t="s">
        <v>1052</v>
      </c>
      <c r="AJ22" t="s">
        <v>270</v>
      </c>
      <c r="AM22">
        <v>432</v>
      </c>
      <c r="AN22">
        <v>45862.48846064815</v>
      </c>
      <c r="AO22">
        <v>45862.48846064815</v>
      </c>
      <c r="AP22">
        <v>10</v>
      </c>
      <c r="AQ22">
        <v>10</v>
      </c>
      <c r="AR22" t="s">
        <v>21</v>
      </c>
      <c r="AS22" t="b">
        <v>0</v>
      </c>
      <c r="AT22" t="s">
        <v>1053</v>
      </c>
    </row>
    <row r="23" spans="1:46" x14ac:dyDescent="0.3">
      <c r="A23">
        <v>0</v>
      </c>
      <c r="B23">
        <v>433</v>
      </c>
      <c r="D23" t="s">
        <v>19</v>
      </c>
      <c r="E23" t="s">
        <v>985</v>
      </c>
      <c r="F23" t="s">
        <v>77</v>
      </c>
      <c r="G23" t="s">
        <v>228</v>
      </c>
      <c r="H23" t="b">
        <v>1</v>
      </c>
      <c r="I23" t="s">
        <v>1028</v>
      </c>
      <c r="L23">
        <v>45903.291666666664</v>
      </c>
      <c r="M23">
        <v>45903.3125</v>
      </c>
      <c r="N23" t="s">
        <v>20</v>
      </c>
      <c r="O23" t="s">
        <v>20</v>
      </c>
      <c r="P23" t="s">
        <v>20</v>
      </c>
      <c r="Q23" t="s">
        <v>20</v>
      </c>
      <c r="R23" t="s">
        <v>986</v>
      </c>
      <c r="S23" t="s">
        <v>1073</v>
      </c>
      <c r="T23" t="s">
        <v>175</v>
      </c>
      <c r="U23" t="s">
        <v>123</v>
      </c>
      <c r="W23" t="b">
        <v>0</v>
      </c>
      <c r="X23" t="s">
        <v>72</v>
      </c>
      <c r="AA23" t="s">
        <v>32</v>
      </c>
      <c r="AB23" t="s">
        <v>1036</v>
      </c>
      <c r="AI23" t="s">
        <v>1074</v>
      </c>
      <c r="AJ23" t="s">
        <v>270</v>
      </c>
      <c r="AM23">
        <v>433</v>
      </c>
      <c r="AN23">
        <v>45905.407592592594</v>
      </c>
      <c r="AO23">
        <v>45862.501539351855</v>
      </c>
      <c r="AP23">
        <v>10</v>
      </c>
      <c r="AQ23">
        <v>10</v>
      </c>
      <c r="AR23" t="s">
        <v>21</v>
      </c>
      <c r="AS23" t="b">
        <v>0</v>
      </c>
      <c r="AT23" t="s">
        <v>1054</v>
      </c>
    </row>
    <row r="24" spans="1:46" x14ac:dyDescent="0.3">
      <c r="A24">
        <v>0</v>
      </c>
      <c r="B24">
        <v>434</v>
      </c>
      <c r="D24" t="s">
        <v>19</v>
      </c>
      <c r="E24" t="s">
        <v>868</v>
      </c>
      <c r="F24" t="s">
        <v>71</v>
      </c>
      <c r="G24" t="s">
        <v>34</v>
      </c>
      <c r="H24" t="b">
        <v>1</v>
      </c>
      <c r="I24" t="s">
        <v>713</v>
      </c>
      <c r="L24">
        <v>45902.479166666664</v>
      </c>
      <c r="M24">
        <v>45902.5</v>
      </c>
      <c r="N24" t="s">
        <v>20</v>
      </c>
      <c r="O24" t="s">
        <v>20</v>
      </c>
      <c r="P24" t="s">
        <v>20</v>
      </c>
      <c r="Q24" t="s">
        <v>20</v>
      </c>
      <c r="R24" t="s">
        <v>986</v>
      </c>
      <c r="S24" t="s">
        <v>1075</v>
      </c>
      <c r="T24" t="s">
        <v>146</v>
      </c>
      <c r="U24" t="s">
        <v>14</v>
      </c>
      <c r="W24" t="b">
        <v>0</v>
      </c>
      <c r="X24" t="s">
        <v>72</v>
      </c>
      <c r="AA24" t="s">
        <v>32</v>
      </c>
      <c r="AB24" t="s">
        <v>1016</v>
      </c>
      <c r="AI24" t="s">
        <v>1076</v>
      </c>
      <c r="AJ24" t="s">
        <v>270</v>
      </c>
      <c r="AM24">
        <v>434</v>
      </c>
      <c r="AN24">
        <v>45905.407847222225</v>
      </c>
      <c r="AO24">
        <v>45862.501770833333</v>
      </c>
      <c r="AP24">
        <v>10</v>
      </c>
      <c r="AQ24">
        <v>10</v>
      </c>
      <c r="AR24" t="s">
        <v>21</v>
      </c>
      <c r="AS24" t="b">
        <v>0</v>
      </c>
      <c r="AT24" t="s">
        <v>1055</v>
      </c>
    </row>
    <row r="25" spans="1:46" x14ac:dyDescent="0.3">
      <c r="A25">
        <v>0</v>
      </c>
      <c r="B25">
        <v>435</v>
      </c>
      <c r="D25" t="s">
        <v>19</v>
      </c>
      <c r="E25" t="s">
        <v>806</v>
      </c>
      <c r="F25" t="s">
        <v>71</v>
      </c>
      <c r="G25" t="s">
        <v>34</v>
      </c>
      <c r="H25" t="b">
        <v>0</v>
      </c>
      <c r="I25" t="s">
        <v>1022</v>
      </c>
      <c r="K25" t="s">
        <v>1056</v>
      </c>
      <c r="L25">
        <v>45876.333333333336</v>
      </c>
      <c r="M25">
        <v>45876.375</v>
      </c>
      <c r="N25" t="s">
        <v>20</v>
      </c>
      <c r="O25" t="s">
        <v>20</v>
      </c>
      <c r="P25" t="s">
        <v>20</v>
      </c>
      <c r="Q25" t="s">
        <v>20</v>
      </c>
      <c r="R25" t="s">
        <v>986</v>
      </c>
      <c r="S25" t="s">
        <v>1057</v>
      </c>
      <c r="T25" t="s">
        <v>974</v>
      </c>
      <c r="U25" t="s">
        <v>14</v>
      </c>
      <c r="W25" t="b">
        <v>0</v>
      </c>
      <c r="X25" t="s">
        <v>72</v>
      </c>
      <c r="Y25" t="s">
        <v>1022</v>
      </c>
      <c r="AA25" t="s">
        <v>33</v>
      </c>
      <c r="AB25" t="s">
        <v>1058</v>
      </c>
      <c r="AC25" t="s">
        <v>982</v>
      </c>
      <c r="AD25" t="s">
        <v>973</v>
      </c>
      <c r="AE25" t="s">
        <v>973</v>
      </c>
      <c r="AF25" t="s">
        <v>1059</v>
      </c>
      <c r="AG25">
        <v>45867.916666666664</v>
      </c>
      <c r="AH25" t="s">
        <v>976</v>
      </c>
      <c r="AI25" t="s">
        <v>973</v>
      </c>
      <c r="AJ25" t="s">
        <v>270</v>
      </c>
      <c r="AM25">
        <v>435</v>
      </c>
      <c r="AN25">
        <v>45882.541967592595</v>
      </c>
      <c r="AO25">
        <v>45868.407581018517</v>
      </c>
      <c r="AP25">
        <v>10</v>
      </c>
      <c r="AQ25">
        <v>10</v>
      </c>
      <c r="AR25" t="s">
        <v>21</v>
      </c>
      <c r="AS25" t="b">
        <v>1</v>
      </c>
      <c r="AT25" t="s">
        <v>1060</v>
      </c>
    </row>
    <row r="26" spans="1:46" x14ac:dyDescent="0.3">
      <c r="A26">
        <v>0</v>
      </c>
      <c r="B26">
        <v>438</v>
      </c>
      <c r="D26" t="s">
        <v>19</v>
      </c>
      <c r="E26" t="s">
        <v>1077</v>
      </c>
      <c r="F26" t="s">
        <v>77</v>
      </c>
      <c r="G26" t="s">
        <v>228</v>
      </c>
      <c r="H26" t="b">
        <v>0</v>
      </c>
      <c r="I26" t="s">
        <v>1078</v>
      </c>
      <c r="K26" t="s">
        <v>1079</v>
      </c>
      <c r="L26">
        <v>45915.333333333336</v>
      </c>
      <c r="M26">
        <v>45915.375</v>
      </c>
      <c r="N26" t="s">
        <v>20</v>
      </c>
      <c r="O26" t="s">
        <v>20</v>
      </c>
      <c r="P26" t="s">
        <v>20</v>
      </c>
      <c r="Q26" t="s">
        <v>20</v>
      </c>
      <c r="R26" t="s">
        <v>986</v>
      </c>
      <c r="S26" t="s">
        <v>1080</v>
      </c>
      <c r="T26" t="s">
        <v>974</v>
      </c>
      <c r="U26" t="s">
        <v>123</v>
      </c>
      <c r="W26" t="b">
        <v>0</v>
      </c>
      <c r="X26" t="s">
        <v>72</v>
      </c>
      <c r="Y26" t="s">
        <v>1078</v>
      </c>
      <c r="AA26" t="s">
        <v>33</v>
      </c>
      <c r="AB26" t="s">
        <v>1081</v>
      </c>
      <c r="AF26" t="s">
        <v>1082</v>
      </c>
      <c r="AG26">
        <v>45902.916666666664</v>
      </c>
      <c r="AH26" t="s">
        <v>1083</v>
      </c>
      <c r="AI26" t="s">
        <v>1084</v>
      </c>
      <c r="AJ26" t="s">
        <v>270</v>
      </c>
      <c r="AM26">
        <v>438</v>
      </c>
      <c r="AN26">
        <v>45913.399444444447</v>
      </c>
      <c r="AO26">
        <v>45882.555578703701</v>
      </c>
      <c r="AP26">
        <v>10</v>
      </c>
      <c r="AQ26">
        <v>10</v>
      </c>
      <c r="AR26" t="s">
        <v>21</v>
      </c>
      <c r="AS26" t="b">
        <v>1</v>
      </c>
      <c r="AT26" t="s">
        <v>1085</v>
      </c>
    </row>
    <row r="27" spans="1:46" x14ac:dyDescent="0.3">
      <c r="A27">
        <v>0</v>
      </c>
      <c r="B27">
        <v>439</v>
      </c>
      <c r="D27" t="s">
        <v>19</v>
      </c>
      <c r="E27" t="s">
        <v>1086</v>
      </c>
      <c r="F27" t="s">
        <v>301</v>
      </c>
      <c r="G27" t="s">
        <v>710</v>
      </c>
      <c r="H27" t="b">
        <v>1</v>
      </c>
      <c r="I27" t="s">
        <v>322</v>
      </c>
      <c r="L27">
        <v>45907.920138888891</v>
      </c>
      <c r="M27">
        <v>45907.961805555555</v>
      </c>
      <c r="N27" t="s">
        <v>20</v>
      </c>
      <c r="O27" t="s">
        <v>20</v>
      </c>
      <c r="P27" t="s">
        <v>20</v>
      </c>
      <c r="Q27" t="s">
        <v>20</v>
      </c>
      <c r="S27" t="s">
        <v>73</v>
      </c>
      <c r="T27" t="s">
        <v>700</v>
      </c>
      <c r="U27" t="s">
        <v>702</v>
      </c>
      <c r="W27" t="b">
        <v>0</v>
      </c>
      <c r="X27" t="s">
        <v>269</v>
      </c>
      <c r="AA27" t="s">
        <v>32</v>
      </c>
      <c r="AB27" t="s">
        <v>1048</v>
      </c>
      <c r="AI27" t="s">
        <v>1087</v>
      </c>
      <c r="AJ27" t="s">
        <v>270</v>
      </c>
      <c r="AM27">
        <v>439</v>
      </c>
      <c r="AN27">
        <v>45882.555763888886</v>
      </c>
      <c r="AO27">
        <v>45882.555763888886</v>
      </c>
      <c r="AP27">
        <v>10</v>
      </c>
      <c r="AQ27">
        <v>10</v>
      </c>
      <c r="AR27" t="s">
        <v>21</v>
      </c>
      <c r="AS27" t="b">
        <v>0</v>
      </c>
      <c r="AT27" t="s">
        <v>1088</v>
      </c>
    </row>
    <row r="28" spans="1:46" x14ac:dyDescent="0.3">
      <c r="A28">
        <v>0</v>
      </c>
      <c r="B28">
        <v>441</v>
      </c>
      <c r="D28" t="s">
        <v>19</v>
      </c>
      <c r="E28" t="s">
        <v>1089</v>
      </c>
      <c r="F28" t="s">
        <v>301</v>
      </c>
      <c r="G28" t="s">
        <v>710</v>
      </c>
      <c r="H28" t="b">
        <v>1</v>
      </c>
      <c r="I28" t="s">
        <v>867</v>
      </c>
      <c r="L28">
        <v>45935.920138888891</v>
      </c>
      <c r="M28">
        <v>45935.961805555555</v>
      </c>
      <c r="N28" t="s">
        <v>20</v>
      </c>
      <c r="O28" t="s">
        <v>20</v>
      </c>
      <c r="P28" t="s">
        <v>20</v>
      </c>
      <c r="Q28" t="s">
        <v>20</v>
      </c>
      <c r="S28" t="s">
        <v>73</v>
      </c>
      <c r="T28" t="s">
        <v>178</v>
      </c>
      <c r="U28" t="s">
        <v>123</v>
      </c>
      <c r="W28" t="b">
        <v>0</v>
      </c>
      <c r="X28" t="s">
        <v>269</v>
      </c>
      <c r="AA28" t="s">
        <v>32</v>
      </c>
      <c r="AB28" t="s">
        <v>981</v>
      </c>
      <c r="AI28" t="s">
        <v>1090</v>
      </c>
      <c r="AJ28" t="s">
        <v>270</v>
      </c>
      <c r="AM28">
        <v>441</v>
      </c>
      <c r="AN28">
        <v>45905.557222222225</v>
      </c>
      <c r="AO28">
        <v>45905.557222222225</v>
      </c>
      <c r="AP28">
        <v>10</v>
      </c>
      <c r="AQ28">
        <v>10</v>
      </c>
      <c r="AR28" t="s">
        <v>21</v>
      </c>
      <c r="AS28" t="b">
        <v>0</v>
      </c>
      <c r="AT28" t="s">
        <v>1091</v>
      </c>
    </row>
    <row r="29" spans="1:46" x14ac:dyDescent="0.3">
      <c r="A29">
        <v>0</v>
      </c>
      <c r="B29">
        <v>446</v>
      </c>
      <c r="D29" t="s">
        <v>19</v>
      </c>
      <c r="E29" t="s">
        <v>1092</v>
      </c>
      <c r="F29" t="s">
        <v>71</v>
      </c>
      <c r="G29" t="s">
        <v>34</v>
      </c>
      <c r="H29" t="b">
        <v>1</v>
      </c>
      <c r="I29" t="s">
        <v>713</v>
      </c>
      <c r="L29">
        <v>46244.920138888891</v>
      </c>
      <c r="M29">
        <v>46244.940972222219</v>
      </c>
      <c r="N29" t="s">
        <v>20</v>
      </c>
      <c r="O29" t="s">
        <v>20</v>
      </c>
      <c r="P29" t="s">
        <v>20</v>
      </c>
      <c r="Q29" t="s">
        <v>20</v>
      </c>
      <c r="S29" t="s">
        <v>1093</v>
      </c>
      <c r="T29" t="s">
        <v>974</v>
      </c>
      <c r="U29" t="s">
        <v>14</v>
      </c>
      <c r="W29" t="b">
        <v>0</v>
      </c>
      <c r="X29" t="s">
        <v>72</v>
      </c>
      <c r="AA29" t="s">
        <v>32</v>
      </c>
      <c r="AB29" t="s">
        <v>1094</v>
      </c>
      <c r="AI29" t="s">
        <v>1095</v>
      </c>
      <c r="AJ29" t="s">
        <v>270</v>
      </c>
      <c r="AM29">
        <v>446</v>
      </c>
      <c r="AN29">
        <v>45912.530844907407</v>
      </c>
      <c r="AO29">
        <v>45910.373761574076</v>
      </c>
      <c r="AP29">
        <v>10</v>
      </c>
      <c r="AQ29">
        <v>10</v>
      </c>
      <c r="AR29" t="s">
        <v>21</v>
      </c>
      <c r="AS29" t="b">
        <v>0</v>
      </c>
      <c r="AT29" t="s">
        <v>1096</v>
      </c>
    </row>
  </sheetData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cc2d020-2502-4441-b1fd-cadfaa86ae41" xsi:nil="true"/>
    <lcf76f155ced4ddcb4097134ff3c332f xmlns="ea8c1b54-eeda-47db-b421-f5c91c740d90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3C52023BAEF3440826862821D438112" ma:contentTypeVersion="10" ma:contentTypeDescription="Ein neues Dokument erstellen." ma:contentTypeScope="" ma:versionID="248a2c0cd3d22fb6778f563128a5670d">
  <xsd:schema xmlns:xsd="http://www.w3.org/2001/XMLSchema" xmlns:xs="http://www.w3.org/2001/XMLSchema" xmlns:p="http://schemas.microsoft.com/office/2006/metadata/properties" xmlns:ns2="ea8c1b54-eeda-47db-b421-f5c91c740d90" xmlns:ns3="4cc2d020-2502-4441-b1fd-cadfaa86ae41" targetNamespace="http://schemas.microsoft.com/office/2006/metadata/properties" ma:root="true" ma:fieldsID="960ef77202f3b057681539c9afa6f077" ns2:_="" ns3:_="">
    <xsd:import namespace="ea8c1b54-eeda-47db-b421-f5c91c740d90"/>
    <xsd:import namespace="4cc2d020-2502-4441-b1fd-cadfaa86ae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8c1b54-eeda-47db-b421-f5c91c740d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ildmarkierungen" ma:readOnly="false" ma:fieldId="{5cf76f15-5ced-4ddc-b409-7134ff3c332f}" ma:taxonomyMulti="true" ma:sspId="5fdf9f3b-d1e6-4e6e-9ab9-bd63cdcf07f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c2d020-2502-4441-b1fd-cadfaa86ae41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27f7cd7a-b76c-4ef6-8294-ca56061e90c8}" ma:internalName="TaxCatchAll" ma:showField="CatchAllData" ma:web="4cc2d020-2502-4441-b1fd-cadfaa86ae4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A0349BC-A0F8-44A1-ACF9-0DEC92567B79}">
  <ds:schemaRefs>
    <ds:schemaRef ds:uri="http://schemas.microsoft.com/office/infopath/2007/PartnerControls"/>
    <ds:schemaRef ds:uri="ece63926-7df1-4720-a34c-bc28aebaf3a8"/>
    <ds:schemaRef ds:uri="http://purl.org/dc/elements/1.1/"/>
    <ds:schemaRef ds:uri="http://schemas.microsoft.com/office/2006/metadata/properties"/>
    <ds:schemaRef ds:uri="c16e5667-91dc-4f2c-bebb-572fe707feb5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  <ds:schemaRef ds:uri="9c6aee29-068b-463e-84b6-8ee336240caa"/>
    <ds:schemaRef ds:uri="17a71c03-ad3d-4569-8c84-c4d5e1addc12"/>
    <ds:schemaRef ds:uri="4cc2d020-2502-4441-b1fd-cadfaa86ae41"/>
    <ds:schemaRef ds:uri="ea8c1b54-eeda-47db-b421-f5c91c740d90"/>
  </ds:schemaRefs>
</ds:datastoreItem>
</file>

<file path=customXml/itemProps2.xml><?xml version="1.0" encoding="utf-8"?>
<ds:datastoreItem xmlns:ds="http://schemas.openxmlformats.org/officeDocument/2006/customXml" ds:itemID="{B520A0F2-5E05-4436-8427-A829CB53633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6E9B2E-CD45-4210-BA83-474A6E015C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8c1b54-eeda-47db-b421-f5c91c740d90"/>
    <ds:schemaRef ds:uri="4cc2d020-2502-4441-b1fd-cadfaa86ae4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5CF7499-5498-47BE-8E05-B18C1BCDF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List1</vt:lpstr>
      <vt:lpstr>List2</vt:lpstr>
      <vt:lpstr>PivotTables</vt:lpstr>
      <vt:lpstr>AllServiceberichte</vt:lpstr>
      <vt:lpstr>AllServiceauftraege</vt:lpstr>
      <vt:lpstr>List1!Print_Area</vt:lpstr>
      <vt:lpstr>Dashboard!Print_Titles</vt:lpstr>
      <vt:lpstr>List1!Print_Titles</vt:lpstr>
      <vt:lpstr>List2!Print_Titles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2025-09-23T09:00:26Z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0x010100754D5D1B9AE8A54983F86A052663FF19</vt:lpwstr>
  </property>
  <property fmtid="{D5CDD505-2E9C-101B-9397-08002B2CF9AE}" pid="3" name="MediaServiceImageTags">
    <vt:lpwstr/>
  </property>
</Properties>
</file>